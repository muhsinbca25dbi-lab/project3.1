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a30739009342d42/Desktop/project_3.1_ipl/reports/"/>
    </mc:Choice>
  </mc:AlternateContent>
  <xr:revisionPtr revIDLastSave="0" documentId="8_{D4CD3D1F-7B3A-43E4-BBB2-B5228234DEB9}" xr6:coauthVersionLast="47" xr6:coauthVersionMax="47" xr10:uidLastSave="{00000000-0000-0000-0000-000000000000}"/>
  <bookViews>
    <workbookView xWindow="-108" yWindow="-108" windowWidth="23256" windowHeight="12456" tabRatio="500" firstSheet="1" activeTab="4" xr2:uid="{00000000-000D-0000-FFFF-FFFF00000000}"/>
  </bookViews>
  <sheets>
    <sheet name="Instructions" sheetId="1" r:id="rId1"/>
    <sheet name="0. Dataset Overview" sheetId="2" r:id="rId2"/>
    <sheet name="1. Data Dictionary" sheetId="3" r:id="rId3"/>
    <sheet name="2. Relationships" sheetId="4" r:id="rId4"/>
    <sheet name="Data quality log" sheetId="7" r:id="rId5"/>
    <sheet name="4. Overall Summary" sheetId="6" r:id="rId6"/>
  </sheets>
  <definedNames>
    <definedName name="_xlnm._FilterDatabase" localSheetId="3" hidden="1">'2. Relationships'!$A$4:$F$4</definedName>
    <definedName name="_xlnm._FilterDatabase" localSheetId="4" hidden="1">'Data quality log'!$A$4:$F$16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7" l="1"/>
  <c r="A15" i="7"/>
  <c r="A14" i="7"/>
  <c r="A13" i="7"/>
  <c r="A12" i="7"/>
  <c r="A11" i="7"/>
  <c r="A10" i="7"/>
  <c r="A9" i="7"/>
  <c r="A8" i="7"/>
  <c r="A7" i="7"/>
  <c r="A6" i="7"/>
  <c r="A5" i="7"/>
  <c r="C8" i="6"/>
  <c r="C7" i="6"/>
  <c r="C6" i="6"/>
  <c r="C5" i="6"/>
</calcChain>
</file>

<file path=xl/sharedStrings.xml><?xml version="1.0" encoding="utf-8"?>
<sst xmlns="http://schemas.openxmlformats.org/spreadsheetml/2006/main" count="856" uniqueCount="505">
  <si>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</si>
  <si>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</si>
  <si>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</si>
  <si>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</si>
  <si>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</si>
  <si>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</si>
  <si>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</si>
  <si>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</si>
  <si>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</si>
  <si>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</si>
  <si>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</si>
  <si>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</si>
  <si>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</si>
  <si>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</si>
  <si>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</si>
  <si>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</si>
  <si>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</si>
  <si>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</si>
  <si>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</si>
  <si>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</si>
  <si>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</si>
  <si>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</si>
  <si>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</si>
  <si>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</si>
  <si>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</si>
  <si>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</si>
  <si>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</si>
  <si>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</si>
  <si>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</si>
  <si>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</si>
  <si>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</si>
  <si>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</si>
  <si>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</si>
  <si>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</si>
  <si>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</si>
  <si>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</si>
  <si>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</si>
  <si>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</si>
  <si>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</si>
  <si>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</si>
  <si>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</si>
  <si>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</si>
  <si>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</si>
  <si>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</si>
  <si>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</si>
  <si>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</si>
  <si>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</si>
  <si>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</si>
  <si>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</si>
  <si>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</si>
  <si>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</si>
  <si>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</si>
  <si>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</si>
  <si>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</si>
  <si>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</si>
  <si>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</si>
  <si>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</si>
  <si>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</si>
  <si>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</si>
  <si>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</si>
  <si>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</si>
  <si>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</si>
  <si>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</si>
  <si>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</si>
  <si>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</si>
  <si>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</si>
  <si>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</si>
  <si>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</si>
  <si>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</si>
  <si>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</si>
  <si>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</si>
  <si>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</si>
  <si>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</si>
  <si>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</si>
  <si>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</si>
  <si>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</si>
  <si>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</si>
  <si>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</si>
  <si>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</si>
  <si>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</si>
  <si>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</si>
  <si>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</si>
  <si>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</si>
  <si>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</si>
  <si>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</si>
  <si>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</si>
  <si>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</si>
  <si>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</si>
  <si>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</si>
  <si>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</si>
  <si>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</si>
  <si>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</si>
  <si>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</si>
  <si>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</si>
  <si>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</si>
  <si>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</si>
  <si>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</si>
  <si>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</si>
  <si>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</si>
  <si>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</si>
  <si>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</si>
  <si>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</si>
  <si>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</si>
  <si>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</si>
  <si>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</si>
  <si>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</si>
  <si>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</si>
  <si>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</si>
  <si>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</si>
  <si>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</si>
  <si>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</si>
  <si>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</si>
  <si>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</si>
  <si>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</si>
  <si>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</si>
  <si>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</si>
  <si>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</si>
  <si>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</si>
  <si>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</si>
  <si>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</si>
  <si>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</si>
  <si>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</si>
  <si>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</si>
  <si>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</si>
  <si>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</si>
  <si>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</si>
  <si>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</si>
  <si>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</si>
  <si>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</si>
  <si>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</si>
  <si>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</si>
  <si>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</si>
  <si>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</si>
  <si>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</si>
  <si>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</si>
  <si>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</si>
  <si>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</si>
  <si>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</si>
  <si>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</si>
  <si>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</si>
  <si>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</si>
  <si>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</si>
  <si>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</si>
  <si>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</si>
  <si>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</si>
  <si>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</si>
  <si>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</si>
  <si>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</si>
  <si>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</si>
  <si>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</si>
  <si>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</si>
  <si>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</si>
  <si>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</si>
  <si>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</si>
  <si>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</si>
  <si>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</si>
  <si>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</si>
  <si>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</si>
  <si>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</si>
  <si>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</si>
  <si>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</si>
  <si>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</si>
  <si>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</si>
  <si>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</si>
  <si>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</si>
  <si>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</si>
  <si>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</si>
  <si>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</si>
  <si>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</si>
  <si>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</si>
  <si>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</si>
  <si>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</si>
  <si>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</si>
  <si>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</si>
  <si>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</si>
  <si>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</si>
  <si>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</si>
  <si>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</si>
  <si>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</si>
  <si>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</si>
  <si>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</si>
  <si>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</si>
  <si>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</si>
  <si>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</si>
  <si>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</si>
  <si>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</si>
  <si>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</si>
  <si>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</si>
  <si>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</si>
  <si>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</si>
  <si>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</si>
  <si>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</si>
  <si>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</si>
  <si>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</si>
  <si>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</si>
  <si>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</si>
  <si>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</si>
  <si>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</si>
  <si>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</si>
  <si>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</si>
  <si>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</si>
  <si>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</si>
  <si>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</si>
  <si>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</si>
  <si>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</si>
  <si>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</si>
  <si>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</si>
  <si>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</si>
  <si>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</si>
  <si>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</si>
  <si>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</si>
  <si>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</si>
  <si>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</si>
  <si>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</si>
  <si>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</si>
  <si>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</si>
  <si>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</si>
  <si>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</si>
  <si>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</si>
  <si>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</si>
  <si>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</si>
  <si>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</si>
  <si>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</si>
  <si>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</si>
  <si>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</si>
  <si>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</si>
  <si>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</si>
  <si>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</si>
  <si>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</si>
  <si>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</si>
  <si>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</si>
  <si>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</si>
  <si>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</si>
  <si>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</si>
  <si>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</si>
  <si>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</si>
  <si>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</si>
  <si>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</si>
  <si>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</si>
  <si>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</si>
  <si>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</si>
  <si>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</si>
  <si>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</si>
  <si>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</si>
  <si>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</si>
  <si>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</si>
  <si>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</si>
  <si>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</si>
  <si>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</si>
  <si>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</si>
  <si>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</si>
  <si>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</si>
  <si>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</si>
  <si>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</si>
  <si>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</si>
  <si>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</si>
  <si>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</si>
  <si>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</si>
  <si>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</si>
  <si>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</si>
  <si>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</si>
  <si>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</si>
  <si>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</si>
  <si>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</si>
  <si>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</si>
  <si>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</si>
  <si>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</si>
  <si>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</si>
  <si>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</si>
  <si>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</si>
  <si>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</si>
  <si>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</si>
  <si>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</si>
  <si>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</si>
  <si>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</si>
  <si>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</si>
  <si>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</si>
  <si>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</si>
  <si>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</si>
  <si>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</si>
  <si>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</si>
  <si>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</si>
  <si>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</si>
  <si>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</si>
  <si>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</si>
  <si>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</si>
  <si>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</si>
  <si>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</si>
  <si>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</si>
  <si>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</si>
  <si>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</si>
  <si>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</si>
  <si>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</si>
  <si>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</si>
  <si>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</si>
  <si>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</si>
  <si>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</si>
  <si>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</si>
  <si>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</si>
  <si>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</si>
  <si>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</si>
  <si>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</si>
  <si>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</si>
  <si>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</si>
  <si>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</si>
  <si>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</si>
  <si>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</si>
  <si>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</si>
  <si>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</si>
  <si>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</si>
  <si>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</si>
  <si>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</si>
  <si>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</si>
  <si>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</si>
  <si>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</si>
  <si>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</si>
  <si>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</si>
  <si>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</si>
  <si>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</si>
  <si>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</si>
  <si>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</si>
  <si>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</si>
  <si>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</si>
  <si>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</si>
  <si>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</si>
  <si>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</si>
  <si>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</si>
  <si>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</si>
  <si>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</si>
  <si>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</si>
  <si>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</si>
  <si>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</si>
  <si>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</si>
  <si>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</si>
  <si>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</si>
  <si>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</si>
  <si>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</si>
  <si>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</si>
  <si>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</si>
  <si>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</si>
  <si>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</si>
  <si>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</si>
  <si>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</si>
  <si>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</si>
  <si>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</si>
  <si>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</si>
  <si>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</si>
  <si>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</si>
  <si>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</si>
  <si>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</si>
  <si>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</si>
  <si>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</si>
  <si>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</si>
  <si>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</si>
  <si>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</si>
  <si>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</si>
  <si>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</si>
  <si>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</si>
  <si>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</si>
  <si>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</si>
  <si>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</si>
  <si>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</si>
  <si>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</si>
  <si>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</si>
  <si>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</si>
  <si>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</si>
  <si>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</si>
  <si>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</si>
  <si>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</si>
  <si>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</si>
  <si>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</si>
  <si>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</si>
  <si>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</si>
  <si>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</si>
  <si>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</si>
  <si>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</si>
  <si>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</si>
  <si>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</si>
  <si>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</si>
  <si>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</si>
  <si>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</si>
  <si>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</si>
  <si>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</si>
  <si>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</si>
  <si>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</si>
  <si>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</si>
  <si>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</si>
  <si>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</si>
  <si>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</si>
  <si>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</si>
  <si>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</si>
  <si>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</si>
  <si>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</si>
  <si>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</si>
  <si>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</si>
  <si>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</si>
  <si>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</si>
  <si>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</si>
  <si>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</si>
  <si>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</si>
  <si>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</si>
  <si>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</si>
  <si>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</si>
  <si>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</si>
  <si>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</si>
  <si>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</si>
  <si>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</si>
  <si>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</si>
  <si>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</si>
  <si>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</si>
  <si>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</si>
  <si>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</si>
  <si>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</si>
  <si>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</si>
  <si>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</si>
  <si>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</si>
  <si>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</si>
  <si>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</si>
  <si>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</si>
  <si>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</si>
  <si>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</si>
  <si>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</si>
  <si>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</si>
  <si>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</si>
  <si>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</si>
  <si>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</si>
  <si>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</si>
  <si>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</si>
  <si>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</si>
  <si>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</si>
  <si>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</si>
  <si>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</si>
  <si>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</si>
  <si>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</si>
  <si>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</si>
  <si>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</si>
  <si>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</si>
  <si>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</si>
  <si>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Log issues as you find them during inspection — don't wait until the end.</t>
  </si>
  <si>
    <t>#</t>
  </si>
  <si>
    <t>File / Column Affected</t>
  </si>
  <si>
    <t>Issue Description</t>
  </si>
  <si>
    <t>Severity</t>
  </si>
  <si>
    <t>Recommended Action</t>
  </si>
  <si>
    <t>Status</t>
  </si>
  <si>
    <t>Open</t>
  </si>
  <si>
    <t>High</t>
  </si>
  <si>
    <t>Medium</t>
  </si>
  <si>
    <t>Low</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</si>
  <si>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</si>
  <si>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</si>
  <si>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</si>
  <si>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</si>
  <si>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</si>
  <si>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</si>
  <si>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</si>
  <si>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</si>
  <si>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</si>
  <si>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</si>
  <si>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</si>
  <si>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</si>
  <si>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</si>
  <si>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</si>
  <si>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</si>
  <si>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No</t>
  </si>
  <si>
    <t>Company-provided SQLite database (ipl.db)</t>
  </si>
  <si>
    <t>Sports Analytics (Cricket)</t>
  </si>
  <si>
    <t>To analyze IPL matches and answer cricket-related questions such as whether winning the toss increases the probability of winning a match</t>
  </si>
  <si>
    <t>44.77mb</t>
  </si>
  <si>
    <t>Muhsin ck</t>
  </si>
  <si>
    <t>project_3.1_ipl</t>
  </si>
  <si>
    <t>matches.venue</t>
  </si>
  <si>
    <t>59 spellings represent 41 actual venues</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</si>
  <si>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</si>
  <si>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</si>
  <si>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</si>
  <si>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</si>
  <si>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</si>
  <si>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</si>
  <si>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Merge into Rising Pune Supergiant</t>
  </si>
  <si>
    <t>open</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</si>
  <si>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</si>
  <si>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</si>
  <si>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</si>
  <si>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</si>
  <si>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</si>
  <si>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</si>
  <si>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</si>
  <si>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</si>
  <si>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matches.player_of_match</t>
  </si>
  <si>
    <t>matches.result</t>
  </si>
  <si>
    <t>deliveries.fielders_involved</t>
  </si>
  <si>
    <t>deliveries.batter / players.player_name</t>
  </si>
  <si>
    <t>matches.season</t>
  </si>
  <si>
    <t>612 spaces + 88 NULLs</t>
  </si>
  <si>
    <t>9 empty strings</t>
  </si>
  <si>
    <t>9 no-result matches still contain a match_winner</t>
  </si>
  <si>
    <t xml:space="preserve">	Multiple names are stored in one cell</t>
  </si>
  <si>
    <t>No database key constraint enforces the relationship</t>
  </si>
  <si>
    <t>2020/21 has a different format from other seasons</t>
  </si>
  <si>
    <t>Convert empty strings to NULL</t>
  </si>
  <si>
    <t>Define and document the win-counting rul</t>
  </si>
  <si>
    <t>Parse using Pandas in Step 2</t>
  </si>
  <si>
    <t>Record as a relationship risk and monitor</t>
  </si>
  <si>
    <t>Handle when converting season to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</si>
</sst>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
      <b/>
      <sz val="11"/>
      <color theme="1"/>
      <name val="Calibri"/>
      <family val="2"/>
      <charset val="1"/>
    </font>
  </fonts>
  <fills count="14">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
      <patternFill patternType="solid">
        <fgColor rgb="FFFFFF99"/>
        <bgColor indexed="64"/>
      </patternFill>
    </fill>
  </fills>
  <borders count="8">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C9CFD8"/>
      </left>
      <right style="thin">
        <color rgb="FFC9CFD8"/>
      </right>
      <top style="thin">
        <color rgb="FFC9CFD8"/>
      </top>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s>
  <cellStyleXfs count="1">
    <xf numFmtId="0" fontId="0" fillId="0" borderId="0"/>
  </cellStyleXfs>
  <cellXfs count="50">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1" fillId="0" borderId="0" xfId="0" applyFont="1"/>
    <xf numFmtId="0" fontId="0" fillId="0" borderId="0" xfId="0"/>
    <xf numFmtId="0" fontId="10" fillId="12" borderId="2" xfId="0" applyFont="1" applyFill="1" applyBorder="1" applyAlignment="1">
      <alignment horizontal="left" vertical="center" wrapText="1"/>
    </xf>
    <xf numFmtId="0" fontId="0" fillId="0" borderId="3" xfId="0" applyBorder="1"/>
    <xf numFmtId="0" fontId="0" fillId="0" borderId="4" xfId="0" applyBorder="1"/>
    <xf numFmtId="0" fontId="9" fillId="11" borderId="2" xfId="0" applyFont="1" applyFill="1" applyBorder="1" applyAlignment="1">
      <alignment horizontal="left" vertical="top" wrapText="1"/>
    </xf>
    <xf numFmtId="0" fontId="8" fillId="11" borderId="2" xfId="0" applyFont="1" applyFill="1" applyBorder="1" applyAlignment="1">
      <alignment horizontal="left" vertical="top" wrapText="1"/>
    </xf>
    <xf numFmtId="0" fontId="2" fillId="0" borderId="0" xfId="0" applyFont="1"/>
    <xf numFmtId="0" fontId="0" fillId="0" borderId="0" xfId="0" applyAlignment="1">
      <alignment vertical="center" wrapText="1"/>
    </xf>
    <xf numFmtId="0" fontId="6" fillId="6" borderId="5" xfId="0" applyFont="1" applyFill="1" applyBorder="1" applyAlignment="1">
      <alignment horizontal="center" vertical="center" wrapText="1"/>
    </xf>
    <xf numFmtId="0" fontId="11" fillId="11" borderId="7" xfId="0" applyFont="1" applyFill="1" applyBorder="1" applyAlignment="1">
      <alignment horizontal="center" vertical="center" wrapText="1"/>
    </xf>
    <xf numFmtId="0" fontId="0" fillId="13" borderId="6" xfId="0" applyFill="1" applyBorder="1"/>
    <xf numFmtId="0" fontId="0" fillId="13" borderId="6" xfId="0" applyFill="1" applyBorder="1" applyAlignment="1">
      <alignment horizontal="center" vertical="center"/>
    </xf>
    <xf numFmtId="0" fontId="0" fillId="13" borderId="6" xfId="0" applyFill="1" applyBorder="1" applyAlignment="1">
      <alignment horizontal="center" vertical="center" wrapText="1"/>
    </xf>
    <xf numFmtId="0" fontId="0" fillId="13" borderId="6" xfId="0" applyFill="1" applyBorder="1" applyAlignment="1">
      <alignment horizontal="left" vertical="center"/>
    </xf>
    <xf numFmtId="0" fontId="0" fillId="13" borderId="6" xfId="0" applyFill="1" applyBorder="1" applyAlignment="1">
      <alignment vertical="center" wrapText="1"/>
    </xf>
    <xf numFmtId="0" fontId="11" fillId="13" borderId="6" xfId="0" applyFont="1" applyFill="1" applyBorder="1" applyAlignment="1">
      <alignment horizontal="left" vertical="top" wrapText="1"/>
    </xf>
    <xf numFmtId="0" fontId="11" fillId="13" borderId="6" xfId="0" applyFont="1" applyFill="1" applyBorder="1" applyAlignment="1">
      <alignment horizontal="center" vertical="center" wrapText="1"/>
    </xf>
    <xf numFmtId="0" fontId="13" fillId="13" borderId="6" xfId="0" applyFont="1" applyFill="1" applyBorder="1" applyAlignment="1">
      <alignment horizontal="center" vertical="center" wrapText="1"/>
    </xf>
    <xf numFmtId="0" fontId="13" fillId="13"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13</v>
      </c>
    </row>
    <row r="3" spans="2:3" x14ac:dyDescent="0.3">
      <c r="B3" s="1" t="s">
        <v>14</v>
      </c>
    </row>
    <row r="5" spans="2:3" ht="39.6" customHeight="1" x14ac:dyDescent="0.3">
      <c r="B5" s="3" t="s">
        <v>15</v>
      </c>
      <c r="C5" s="4" t="s">
        <v>16</v>
      </c>
    </row>
    <row r="7" spans="2:3" x14ac:dyDescent="0.3">
      <c r="B7" s="3" t="s">
        <v>17</v>
      </c>
      <c r="C7" s="5" t="s">
        <v>18</v>
      </c>
    </row>
    <row r="8" spans="2:3" x14ac:dyDescent="0.3">
      <c r="B8" s="4" t="s">
        <v>19</v>
      </c>
      <c r="C8" s="4" t="s">
        <v>20</v>
      </c>
    </row>
    <row r="9" spans="2:3" ht="26.4" customHeight="1" x14ac:dyDescent="0.3">
      <c r="B9" s="4" t="s">
        <v>21</v>
      </c>
      <c r="C9" s="4" t="s">
        <v>22</v>
      </c>
    </row>
    <row r="10" spans="2:3" ht="26.4" customHeight="1" x14ac:dyDescent="0.3">
      <c r="B10" s="4" t="s">
        <v>0</v>
      </c>
      <c r="C10" s="4" t="s">
        <v>23</v>
      </c>
    </row>
    <row r="11" spans="2:3" ht="26.4" customHeight="1" x14ac:dyDescent="0.3">
      <c r="B11" s="4" t="s">
        <v>24</v>
      </c>
      <c r="C11" s="4" t="s">
        <v>25</v>
      </c>
    </row>
    <row r="12" spans="2:3" ht="26.4" customHeight="1" x14ac:dyDescent="0.3">
      <c r="B12" s="4" t="s">
        <v>26</v>
      </c>
      <c r="C12" s="4" t="s">
        <v>27</v>
      </c>
    </row>
    <row r="14" spans="2:3" ht="144.75" customHeight="1" x14ac:dyDescent="0.3">
      <c r="B14" s="3" t="s">
        <v>28</v>
      </c>
      <c r="C14" s="4" t="s">
        <v>29</v>
      </c>
    </row>
    <row r="16" spans="2:3" ht="64.5" customHeight="1" x14ac:dyDescent="0.3">
      <c r="B16" s="3" t="s">
        <v>30</v>
      </c>
      <c r="C16" s="4" t="s">
        <v>31</v>
      </c>
    </row>
    <row r="18" spans="2:3" ht="49.5" customHeight="1" x14ac:dyDescent="0.3">
      <c r="B18" s="3" t="s">
        <v>32</v>
      </c>
      <c r="C18" s="4" t="s">
        <v>33</v>
      </c>
    </row>
    <row r="20" spans="2:3" ht="64.5" customHeight="1" x14ac:dyDescent="0.3">
      <c r="B20" s="3" t="s">
        <v>34</v>
      </c>
      <c r="C20" s="4" t="s">
        <v>35</v>
      </c>
    </row>
    <row r="22" spans="2:3" ht="90" customHeight="1" x14ac:dyDescent="0.3">
      <c r="B22" s="3" t="s">
        <v>36</v>
      </c>
      <c r="C22" s="4" t="s">
        <v>37</v>
      </c>
    </row>
    <row r="24" spans="2:3" x14ac:dyDescent="0.3">
      <c r="B24" s="3" t="s">
        <v>38</v>
      </c>
    </row>
    <row r="25" spans="2:3" x14ac:dyDescent="0.3">
      <c r="B25" s="6" t="s">
        <v>39</v>
      </c>
      <c r="C25" s="5" t="s">
        <v>40</v>
      </c>
    </row>
    <row r="26" spans="2:3" ht="26.4" customHeight="1" x14ac:dyDescent="0.3">
      <c r="B26" s="7" t="s">
        <v>41</v>
      </c>
      <c r="C26" s="4" t="s">
        <v>42</v>
      </c>
    </row>
    <row r="27" spans="2:3" x14ac:dyDescent="0.3">
      <c r="B27" s="8" t="s">
        <v>43</v>
      </c>
      <c r="C27" s="5" t="s">
        <v>44</v>
      </c>
    </row>
    <row r="28" spans="2:3" ht="26.4" customHeight="1" x14ac:dyDescent="0.3">
      <c r="B28" s="9" t="s">
        <v>45</v>
      </c>
      <c r="C28" s="4" t="s">
        <v>46</v>
      </c>
    </row>
    <row r="31" spans="2:3" ht="26.4" customHeight="1" x14ac:dyDescent="0.3">
      <c r="B31" s="3" t="s">
        <v>47</v>
      </c>
      <c r="C31" s="4"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5" sqref="C5"/>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19</v>
      </c>
    </row>
    <row r="3" spans="2:3" x14ac:dyDescent="0.3">
      <c r="B3" s="1" t="s">
        <v>49</v>
      </c>
    </row>
    <row r="5" spans="2:3" ht="19.5" customHeight="1" x14ac:dyDescent="0.3">
      <c r="B5" s="10" t="s">
        <v>50</v>
      </c>
      <c r="C5" s="11" t="s">
        <v>470</v>
      </c>
    </row>
    <row r="6" spans="2:3" ht="19.5" customHeight="1" x14ac:dyDescent="0.3">
      <c r="B6" s="10" t="s">
        <v>51</v>
      </c>
      <c r="C6" s="11" t="s">
        <v>469</v>
      </c>
    </row>
    <row r="7" spans="2:3" ht="19.5" customHeight="1" x14ac:dyDescent="0.3">
      <c r="B7" s="10" t="s">
        <v>52</v>
      </c>
      <c r="C7" s="27">
        <v>46251</v>
      </c>
    </row>
    <row r="8" spans="2:3" ht="19.5" customHeight="1" x14ac:dyDescent="0.3">
      <c r="B8" s="10" t="s">
        <v>53</v>
      </c>
      <c r="C8" s="11" t="s">
        <v>465</v>
      </c>
    </row>
    <row r="9" spans="2:3" ht="19.5" customHeight="1" x14ac:dyDescent="0.3">
      <c r="B9" s="10" t="s">
        <v>54</v>
      </c>
      <c r="C9" s="11" t="s">
        <v>466</v>
      </c>
    </row>
    <row r="10" spans="2:3" ht="31.5" customHeight="1" x14ac:dyDescent="0.3">
      <c r="B10" s="10" t="s">
        <v>55</v>
      </c>
      <c r="C10" s="28" t="s">
        <v>467</v>
      </c>
    </row>
    <row r="11" spans="2:3" ht="19.5" customHeight="1" x14ac:dyDescent="0.3">
      <c r="B11" s="10" t="s">
        <v>56</v>
      </c>
      <c r="C11" s="29">
        <v>5</v>
      </c>
    </row>
    <row r="12" spans="2:3" ht="31.5" customHeight="1" x14ac:dyDescent="0.3">
      <c r="B12" s="10" t="s">
        <v>57</v>
      </c>
      <c r="C12" s="28" t="s">
        <v>468</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30" activePane="bottomRight" state="frozen"/>
      <selection pane="topRight"/>
      <selection pane="bottomLeft" activeCell="A4" sqref="A4"/>
      <selection pane="bottomRight" activeCell="C39" sqref="C39"/>
    </sheetView>
  </sheetViews>
  <sheetFormatPr defaultColWidth="8.6640625" defaultRowHeight="14.4" x14ac:dyDescent="0.3"/>
  <cols>
    <col min="1" max="1" width="26" customWidth="1"/>
    <col min="2" max="33" width="30" customWidth="1"/>
  </cols>
  <sheetData>
    <row r="1" spans="1:33" ht="21" customHeight="1" x14ac:dyDescent="0.4">
      <c r="A1" s="30" t="s">
        <v>21</v>
      </c>
      <c r="B1" s="31"/>
      <c r="C1" s="31"/>
      <c r="D1" s="31"/>
      <c r="E1" s="31"/>
      <c r="F1" s="31"/>
      <c r="G1" s="31"/>
      <c r="H1" s="31"/>
      <c r="I1" s="31"/>
      <c r="J1" s="31"/>
      <c r="K1" s="31"/>
      <c r="L1" s="31"/>
      <c r="M1" s="31"/>
      <c r="N1" s="31"/>
      <c r="O1" s="31"/>
      <c r="P1" s="31"/>
      <c r="Q1" s="31"/>
      <c r="R1" s="31"/>
      <c r="S1" s="31"/>
      <c r="T1" s="31"/>
      <c r="U1" s="31"/>
    </row>
    <row r="2" spans="1:33" x14ac:dyDescent="0.3">
      <c r="A2" s="37" t="s">
        <v>58</v>
      </c>
      <c r="B2" s="31"/>
      <c r="C2" s="31"/>
      <c r="D2" s="31"/>
      <c r="E2" s="31"/>
      <c r="F2" s="31"/>
      <c r="G2" s="31"/>
      <c r="H2" s="31"/>
      <c r="I2" s="31"/>
      <c r="J2" s="31"/>
      <c r="K2" s="31"/>
      <c r="L2" s="31"/>
      <c r="M2" s="31"/>
      <c r="N2" s="31"/>
      <c r="O2" s="31"/>
      <c r="P2" s="31"/>
      <c r="Q2" s="31"/>
      <c r="R2" s="31"/>
      <c r="S2" s="31"/>
      <c r="T2" s="31"/>
      <c r="U2" s="31"/>
    </row>
    <row r="4" spans="1:33" ht="16.05" customHeight="1" x14ac:dyDescent="0.3">
      <c r="A4" s="19" t="s">
        <v>59</v>
      </c>
      <c r="B4" s="36" t="s">
        <v>60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4"/>
    </row>
    <row r="5" spans="1:33" ht="24" customHeight="1" x14ac:dyDescent="0.3">
      <c r="A5" s="19" t="s">
        <v>61</v>
      </c>
      <c r="B5" s="35" t="s">
        <v>62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4"/>
    </row>
    <row r="6" spans="1:33" ht="13.5" customHeight="1" x14ac:dyDescent="0.3">
      <c r="A6" s="19" t="s">
        <v>63</v>
      </c>
      <c r="B6" s="22" t="s">
        <v>64</v>
      </c>
      <c r="C6" s="22" t="s">
        <v>65</v>
      </c>
      <c r="D6" s="32" t="s">
        <v>66</v>
      </c>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4"/>
    </row>
    <row r="7" spans="1:33" ht="24" customHeight="1" x14ac:dyDescent="0.3">
      <c r="A7" s="19"/>
      <c r="B7" s="21" t="s">
        <v>67</v>
      </c>
      <c r="C7" s="21" t="s">
        <v>68</v>
      </c>
      <c r="D7" s="35" t="s">
        <v>464</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3" ht="16.05" customHeight="1" x14ac:dyDescent="0.3">
      <c r="A8" s="23" t="s">
        <v>69</v>
      </c>
      <c r="B8" s="36" t="s">
        <v>70</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4"/>
    </row>
    <row r="9" spans="1:33" ht="16.05" customHeight="1" x14ac:dyDescent="0.3">
      <c r="A9" s="23" t="s">
        <v>71</v>
      </c>
      <c r="B9" s="35" t="s">
        <v>72</v>
      </c>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4"/>
    </row>
    <row r="10" spans="1:33" ht="13.5" customHeight="1" x14ac:dyDescent="0.3">
      <c r="A10" s="23" t="s">
        <v>73</v>
      </c>
      <c r="B10" s="22" t="s">
        <v>74</v>
      </c>
      <c r="C10" s="22" t="s">
        <v>75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6.05" customHeight="1" x14ac:dyDescent="0.3">
      <c r="A11" s="23"/>
      <c r="B11" s="24">
        <v>1212</v>
      </c>
      <c r="C11" s="24">
        <v>28</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spans="1:33" ht="6" customHeight="1" x14ac:dyDescent="0.3"/>
    <row r="13" spans="1:33" ht="15" customHeight="1" x14ac:dyDescent="0.3">
      <c r="A13" s="25" t="s">
        <v>76</v>
      </c>
      <c r="B13" s="20" t="s">
        <v>77</v>
      </c>
      <c r="C13" s="20" t="s">
        <v>78</v>
      </c>
      <c r="D13" s="20" t="s">
        <v>79</v>
      </c>
      <c r="E13" s="20" t="s">
        <v>80</v>
      </c>
      <c r="F13" s="20" t="s">
        <v>81</v>
      </c>
      <c r="G13" s="20" t="s">
        <v>82</v>
      </c>
      <c r="H13" s="20" t="s">
        <v>83</v>
      </c>
      <c r="I13" s="20" t="s">
        <v>84</v>
      </c>
      <c r="J13" s="20" t="s">
        <v>85</v>
      </c>
      <c r="K13" s="20" t="s">
        <v>86</v>
      </c>
      <c r="L13" s="20" t="s">
        <v>87</v>
      </c>
      <c r="M13" s="20" t="s">
        <v>88</v>
      </c>
      <c r="N13" s="20" t="s">
        <v>89</v>
      </c>
      <c r="O13" s="20" t="s">
        <v>90</v>
      </c>
      <c r="P13" s="20" t="s">
        <v>91</v>
      </c>
      <c r="Q13" s="20" t="s">
        <v>92</v>
      </c>
      <c r="R13" s="20" t="s">
        <v>93</v>
      </c>
      <c r="S13" s="20" t="s">
        <v>94</v>
      </c>
      <c r="T13" s="20" t="s">
        <v>95</v>
      </c>
      <c r="U13" s="20" t="s">
        <v>96</v>
      </c>
      <c r="V13" s="20" t="s">
        <v>97</v>
      </c>
      <c r="W13" s="20" t="s">
        <v>98</v>
      </c>
      <c r="X13" s="20" t="s">
        <v>99</v>
      </c>
      <c r="Y13" s="20" t="s">
        <v>100</v>
      </c>
      <c r="Z13" s="20" t="s">
        <v>101</v>
      </c>
      <c r="AA13" s="20" t="s">
        <v>102</v>
      </c>
      <c r="AB13" s="20" t="s">
        <v>103</v>
      </c>
      <c r="AC13" s="20" t="s">
        <v>104</v>
      </c>
    </row>
    <row r="14" spans="1:33" ht="48" customHeight="1" x14ac:dyDescent="0.3">
      <c r="A14" s="25" t="s">
        <v>105</v>
      </c>
      <c r="B14" s="21" t="s">
        <v>106</v>
      </c>
      <c r="C14" s="21" t="s">
        <v>107</v>
      </c>
      <c r="D14" s="21" t="s">
        <v>108</v>
      </c>
      <c r="E14" s="21" t="s">
        <v>109</v>
      </c>
      <c r="F14" s="21" t="s">
        <v>110</v>
      </c>
      <c r="G14" s="21" t="s">
        <v>111</v>
      </c>
      <c r="H14" s="21" t="s">
        <v>112</v>
      </c>
      <c r="I14" s="21" t="s">
        <v>113</v>
      </c>
      <c r="J14" s="21" t="s">
        <v>114</v>
      </c>
      <c r="K14" s="21" t="s">
        <v>114</v>
      </c>
      <c r="L14" s="21" t="s">
        <v>115</v>
      </c>
      <c r="M14" s="21" t="s">
        <v>116</v>
      </c>
      <c r="N14" s="21" t="s">
        <v>117</v>
      </c>
      <c r="O14" s="21" t="s">
        <v>118</v>
      </c>
      <c r="P14" s="21" t="s">
        <v>119</v>
      </c>
      <c r="Q14" s="21" t="s">
        <v>120</v>
      </c>
      <c r="R14" s="21" t="s">
        <v>121</v>
      </c>
      <c r="S14" s="21" t="s">
        <v>122</v>
      </c>
      <c r="T14" s="21" t="s">
        <v>123</v>
      </c>
      <c r="U14" s="21" t="s">
        <v>124</v>
      </c>
      <c r="V14" s="21" t="s">
        <v>125</v>
      </c>
      <c r="W14" s="21" t="s">
        <v>126</v>
      </c>
      <c r="X14" s="21" t="s">
        <v>127</v>
      </c>
      <c r="Y14" s="21" t="s">
        <v>128</v>
      </c>
      <c r="Z14" s="21" t="s">
        <v>129</v>
      </c>
      <c r="AA14" s="21" t="s">
        <v>130</v>
      </c>
      <c r="AB14" s="21" t="s">
        <v>131</v>
      </c>
      <c r="AC14" s="21" t="s">
        <v>132</v>
      </c>
    </row>
    <row r="15" spans="1:33" ht="15" customHeight="1" x14ac:dyDescent="0.3">
      <c r="A15" s="25" t="s">
        <v>133</v>
      </c>
      <c r="B15" s="21" t="s">
        <v>134</v>
      </c>
      <c r="C15" s="21" t="s">
        <v>135</v>
      </c>
      <c r="D15" s="21" t="s">
        <v>136</v>
      </c>
      <c r="E15" s="21" t="s">
        <v>137</v>
      </c>
      <c r="F15" s="21" t="s">
        <v>138</v>
      </c>
      <c r="G15" s="21" t="s">
        <v>137</v>
      </c>
      <c r="H15" s="21" t="s">
        <v>136</v>
      </c>
      <c r="I15" s="21" t="s">
        <v>137</v>
      </c>
      <c r="J15" s="21" t="s">
        <v>137</v>
      </c>
      <c r="K15" s="21" t="s">
        <v>137</v>
      </c>
      <c r="L15" s="21" t="s">
        <v>136</v>
      </c>
      <c r="M15" s="21" t="s">
        <v>139</v>
      </c>
      <c r="N15" s="21" t="s">
        <v>137</v>
      </c>
      <c r="O15" s="21" t="s">
        <v>137</v>
      </c>
      <c r="P15" s="21" t="s">
        <v>137</v>
      </c>
      <c r="Q15" s="21" t="s">
        <v>137</v>
      </c>
      <c r="R15" s="21" t="s">
        <v>137</v>
      </c>
      <c r="S15" s="21" t="s">
        <v>137</v>
      </c>
      <c r="T15" s="21" t="s">
        <v>137</v>
      </c>
      <c r="U15" s="21" t="s">
        <v>136</v>
      </c>
      <c r="V15" s="21" t="s">
        <v>136</v>
      </c>
      <c r="W15" s="21" t="s">
        <v>137</v>
      </c>
      <c r="X15" s="21" t="s">
        <v>139</v>
      </c>
      <c r="Y15" s="21" t="s">
        <v>134</v>
      </c>
      <c r="Z15" s="21" t="s">
        <v>134</v>
      </c>
      <c r="AA15" s="21" t="s">
        <v>134</v>
      </c>
      <c r="AB15" s="21" t="s">
        <v>134</v>
      </c>
      <c r="AC15" s="21" t="s">
        <v>134</v>
      </c>
    </row>
    <row r="16" spans="1:33" ht="36" customHeight="1" x14ac:dyDescent="0.3">
      <c r="A16" s="25" t="s">
        <v>140</v>
      </c>
      <c r="B16" s="21" t="s">
        <v>141</v>
      </c>
      <c r="C16" s="21" t="s">
        <v>142</v>
      </c>
      <c r="D16" s="21" t="s">
        <v>143</v>
      </c>
      <c r="E16" s="21" t="s">
        <v>143</v>
      </c>
      <c r="F16" s="21" t="s">
        <v>143</v>
      </c>
      <c r="G16" s="21" t="s">
        <v>143</v>
      </c>
      <c r="H16" s="21" t="s">
        <v>143</v>
      </c>
      <c r="I16" s="21" t="s">
        <v>143</v>
      </c>
      <c r="J16" s="21" t="s">
        <v>143</v>
      </c>
      <c r="K16" s="21" t="s">
        <v>143</v>
      </c>
      <c r="L16" s="21" t="s">
        <v>143</v>
      </c>
      <c r="M16" s="21" t="s">
        <v>143</v>
      </c>
      <c r="N16" s="21" t="s">
        <v>143</v>
      </c>
      <c r="O16" s="21" t="s">
        <v>144</v>
      </c>
      <c r="P16" s="21" t="s">
        <v>145</v>
      </c>
      <c r="Q16" s="21" t="s">
        <v>145</v>
      </c>
      <c r="R16" s="21" t="s">
        <v>145</v>
      </c>
      <c r="S16" s="21" t="s">
        <v>143</v>
      </c>
      <c r="T16" s="21" t="s">
        <v>145</v>
      </c>
      <c r="U16" s="21" t="s">
        <v>143</v>
      </c>
      <c r="V16" s="21" t="s">
        <v>143</v>
      </c>
      <c r="W16" s="21" t="s">
        <v>143</v>
      </c>
      <c r="X16" s="21" t="s">
        <v>146</v>
      </c>
      <c r="Y16" s="21" t="s">
        <v>147</v>
      </c>
      <c r="Z16" s="21" t="s">
        <v>147</v>
      </c>
      <c r="AA16" s="21" t="s">
        <v>147</v>
      </c>
      <c r="AB16" s="21" t="s">
        <v>147</v>
      </c>
      <c r="AC16" s="21" t="s">
        <v>148</v>
      </c>
    </row>
    <row r="17" spans="1:33" ht="48" customHeight="1" x14ac:dyDescent="0.3">
      <c r="A17" s="26" t="s">
        <v>149</v>
      </c>
      <c r="B17" s="21" t="s">
        <v>150</v>
      </c>
      <c r="C17" s="21" t="s">
        <v>151</v>
      </c>
      <c r="D17" s="21" t="s">
        <v>152</v>
      </c>
      <c r="E17" s="21" t="s">
        <v>153</v>
      </c>
      <c r="F17" s="21" t="s">
        <v>154</v>
      </c>
      <c r="G17" s="21" t="s">
        <v>155</v>
      </c>
      <c r="H17" s="21" t="s">
        <v>156</v>
      </c>
      <c r="I17" s="21" t="s">
        <v>157</v>
      </c>
      <c r="J17" s="21" t="s">
        <v>158</v>
      </c>
      <c r="K17" s="21" t="s">
        <v>158</v>
      </c>
      <c r="L17" s="21" t="s">
        <v>159</v>
      </c>
      <c r="M17" s="21" t="s">
        <v>151</v>
      </c>
      <c r="N17" s="21" t="s">
        <v>160</v>
      </c>
      <c r="O17" s="21" t="s">
        <v>161</v>
      </c>
      <c r="P17" s="21" t="s">
        <v>162</v>
      </c>
      <c r="Q17" s="21" t="s">
        <v>163</v>
      </c>
      <c r="R17" s="21" t="s">
        <v>164</v>
      </c>
      <c r="S17" s="21" t="s">
        <v>165</v>
      </c>
      <c r="T17" s="21" t="s">
        <v>166</v>
      </c>
      <c r="U17" s="21" t="s">
        <v>167</v>
      </c>
      <c r="V17" s="21" t="s">
        <v>168</v>
      </c>
      <c r="W17" s="21" t="s">
        <v>169</v>
      </c>
      <c r="X17" s="21" t="s">
        <v>170</v>
      </c>
      <c r="Y17" s="21" t="s">
        <v>171</v>
      </c>
      <c r="Z17" s="21" t="s">
        <v>172</v>
      </c>
      <c r="AA17" s="21" t="s">
        <v>173</v>
      </c>
      <c r="AB17" s="21" t="s">
        <v>174</v>
      </c>
      <c r="AC17" s="21" t="s">
        <v>175</v>
      </c>
    </row>
    <row r="18" spans="1:33" ht="15" customHeight="1" x14ac:dyDescent="0.3">
      <c r="A18" s="26" t="s">
        <v>176</v>
      </c>
      <c r="B18" s="24">
        <v>1212</v>
      </c>
      <c r="C18" s="24">
        <v>19</v>
      </c>
      <c r="D18" s="24">
        <v>1</v>
      </c>
      <c r="E18" s="24">
        <v>37</v>
      </c>
      <c r="F18" s="24">
        <v>920</v>
      </c>
      <c r="G18" s="24">
        <v>1</v>
      </c>
      <c r="H18" s="24">
        <v>72</v>
      </c>
      <c r="I18" s="24">
        <v>1</v>
      </c>
      <c r="J18" s="24">
        <v>1</v>
      </c>
      <c r="K18" s="24">
        <v>1</v>
      </c>
      <c r="L18" s="24">
        <v>1</v>
      </c>
      <c r="M18" s="24">
        <v>19</v>
      </c>
      <c r="N18" s="24">
        <v>1</v>
      </c>
      <c r="O18" s="24">
        <v>59</v>
      </c>
      <c r="P18" s="24">
        <v>14</v>
      </c>
      <c r="Q18" s="24">
        <v>14</v>
      </c>
      <c r="R18" s="24">
        <v>14</v>
      </c>
      <c r="S18" s="24">
        <v>2</v>
      </c>
      <c r="T18" s="24">
        <v>14</v>
      </c>
      <c r="U18" s="24">
        <v>103</v>
      </c>
      <c r="V18" s="24">
        <v>10</v>
      </c>
      <c r="W18" s="24">
        <v>3</v>
      </c>
      <c r="X18" s="24">
        <v>318</v>
      </c>
      <c r="Y18" s="24">
        <v>14</v>
      </c>
      <c r="Z18" s="24">
        <v>14</v>
      </c>
      <c r="AA18" s="24">
        <v>14</v>
      </c>
      <c r="AB18" s="24">
        <v>14</v>
      </c>
      <c r="AC18" s="24">
        <v>318</v>
      </c>
    </row>
    <row r="19" spans="1:33" ht="120" customHeight="1" x14ac:dyDescent="0.3">
      <c r="A19" s="26" t="s">
        <v>177</v>
      </c>
      <c r="B19" s="21" t="s">
        <v>178</v>
      </c>
      <c r="C19" s="21" t="s">
        <v>179</v>
      </c>
      <c r="D19" s="21" t="s">
        <v>180</v>
      </c>
      <c r="E19" s="21" t="s">
        <v>178</v>
      </c>
      <c r="F19" s="21" t="s">
        <v>178</v>
      </c>
      <c r="G19" s="21" t="s">
        <v>181</v>
      </c>
      <c r="H19" s="21" t="s">
        <v>178</v>
      </c>
      <c r="I19" s="21" t="s">
        <v>182</v>
      </c>
      <c r="J19" s="21" t="s">
        <v>183</v>
      </c>
      <c r="K19" s="21" t="s">
        <v>183</v>
      </c>
      <c r="L19" s="21" t="s">
        <v>184</v>
      </c>
      <c r="M19" s="21" t="s">
        <v>185</v>
      </c>
      <c r="N19" s="21" t="s">
        <v>186</v>
      </c>
      <c r="O19" s="21" t="s">
        <v>178</v>
      </c>
      <c r="P19" s="21" t="s">
        <v>187</v>
      </c>
      <c r="Q19" s="21" t="s">
        <v>188</v>
      </c>
      <c r="R19" s="21" t="s">
        <v>188</v>
      </c>
      <c r="S19" s="21" t="s">
        <v>189</v>
      </c>
      <c r="T19" s="21" t="s">
        <v>188</v>
      </c>
      <c r="U19" s="21" t="s">
        <v>178</v>
      </c>
      <c r="V19" s="21" t="s">
        <v>190</v>
      </c>
      <c r="W19" s="21" t="s">
        <v>191</v>
      </c>
      <c r="X19" s="21" t="s">
        <v>178</v>
      </c>
      <c r="Y19" s="21" t="s">
        <v>192</v>
      </c>
      <c r="Z19" s="21" t="s">
        <v>193</v>
      </c>
      <c r="AA19" s="21" t="s">
        <v>193</v>
      </c>
      <c r="AB19" s="21" t="s">
        <v>193</v>
      </c>
      <c r="AC19" s="21" t="s">
        <v>178</v>
      </c>
    </row>
    <row r="20" spans="1:33" ht="15" customHeight="1" x14ac:dyDescent="0.3">
      <c r="A20" s="26" t="s">
        <v>194</v>
      </c>
      <c r="B20" s="21" t="s">
        <v>195</v>
      </c>
      <c r="C20" s="21" t="s">
        <v>195</v>
      </c>
      <c r="D20" s="21" t="s">
        <v>195</v>
      </c>
      <c r="E20" s="21" t="s">
        <v>196</v>
      </c>
      <c r="F20" s="21" t="s">
        <v>195</v>
      </c>
      <c r="G20" s="21" t="s">
        <v>195</v>
      </c>
      <c r="H20" s="21" t="s">
        <v>197</v>
      </c>
      <c r="I20" s="21" t="s">
        <v>195</v>
      </c>
      <c r="J20" s="21" t="s">
        <v>195</v>
      </c>
      <c r="K20" s="21" t="s">
        <v>195</v>
      </c>
      <c r="L20" s="21" t="s">
        <v>195</v>
      </c>
      <c r="M20" s="21" t="s">
        <v>195</v>
      </c>
      <c r="N20" s="21" t="s">
        <v>195</v>
      </c>
      <c r="O20" s="21" t="s">
        <v>195</v>
      </c>
      <c r="P20" s="21" t="s">
        <v>195</v>
      </c>
      <c r="Q20" s="21" t="s">
        <v>195</v>
      </c>
      <c r="R20" s="21" t="s">
        <v>195</v>
      </c>
      <c r="S20" s="21" t="s">
        <v>195</v>
      </c>
      <c r="T20" s="21" t="s">
        <v>195</v>
      </c>
      <c r="U20" s="21" t="s">
        <v>198</v>
      </c>
      <c r="V20" s="21" t="s">
        <v>199</v>
      </c>
      <c r="W20" s="21" t="s">
        <v>195</v>
      </c>
      <c r="X20" s="21" t="s">
        <v>200</v>
      </c>
      <c r="Y20" s="21" t="s">
        <v>195</v>
      </c>
      <c r="Z20" s="21" t="s">
        <v>195</v>
      </c>
      <c r="AA20" s="21" t="s">
        <v>195</v>
      </c>
      <c r="AB20" s="21" t="s">
        <v>195</v>
      </c>
      <c r="AC20" s="21" t="s">
        <v>200</v>
      </c>
    </row>
    <row r="21" spans="1:33" ht="372" customHeight="1" x14ac:dyDescent="0.3">
      <c r="A21" s="26" t="s">
        <v>201</v>
      </c>
      <c r="B21" s="21" t="s">
        <v>202</v>
      </c>
      <c r="C21" s="21" t="s">
        <v>203</v>
      </c>
      <c r="D21" s="21" t="s">
        <v>204</v>
      </c>
      <c r="E21" s="21" t="s">
        <v>205</v>
      </c>
      <c r="F21" s="21" t="s">
        <v>206</v>
      </c>
      <c r="G21" s="21" t="s">
        <v>207</v>
      </c>
      <c r="H21" s="21" t="s">
        <v>208</v>
      </c>
      <c r="I21" s="21" t="s">
        <v>209</v>
      </c>
      <c r="J21" s="21" t="s">
        <v>210</v>
      </c>
      <c r="K21" s="21" t="s">
        <v>211</v>
      </c>
      <c r="L21" s="21" t="s">
        <v>212</v>
      </c>
      <c r="M21" s="21" t="s">
        <v>213</v>
      </c>
      <c r="N21" s="21" t="s">
        <v>214</v>
      </c>
      <c r="O21" s="21" t="s">
        <v>215</v>
      </c>
      <c r="P21" s="21" t="s">
        <v>216</v>
      </c>
      <c r="Q21" s="21" t="s">
        <v>217</v>
      </c>
      <c r="R21" s="21" t="s">
        <v>218</v>
      </c>
      <c r="S21" s="21" t="s">
        <v>219</v>
      </c>
      <c r="T21" s="21" t="s">
        <v>220</v>
      </c>
      <c r="U21" s="21" t="s">
        <v>221</v>
      </c>
      <c r="V21" s="21" t="s">
        <v>222</v>
      </c>
      <c r="W21" s="21" t="s">
        <v>223</v>
      </c>
      <c r="X21" s="21" t="s">
        <v>224</v>
      </c>
      <c r="Y21" s="21" t="s">
        <v>225</v>
      </c>
      <c r="Z21" s="21" t="s">
        <v>226</v>
      </c>
      <c r="AA21" s="21" t="s">
        <v>227</v>
      </c>
      <c r="AB21" s="21" t="s">
        <v>228</v>
      </c>
      <c r="AC21" s="21" t="s">
        <v>229</v>
      </c>
    </row>
    <row r="25" spans="1:33" ht="15" thickBot="1" x14ac:dyDescent="0.35"/>
    <row r="26" spans="1:33" ht="16.05" customHeight="1" x14ac:dyDescent="0.3">
      <c r="A26" s="19" t="s">
        <v>59</v>
      </c>
      <c r="B26" s="36" t="s">
        <v>230</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4"/>
    </row>
    <row r="27" spans="1:33" ht="36" customHeight="1" x14ac:dyDescent="0.3">
      <c r="A27" s="19" t="s">
        <v>61</v>
      </c>
      <c r="B27" s="35" t="s">
        <v>231</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4"/>
    </row>
    <row r="28" spans="1:33" ht="13.5" customHeight="1" x14ac:dyDescent="0.3">
      <c r="A28" s="19" t="s">
        <v>63</v>
      </c>
      <c r="B28" s="22" t="s">
        <v>64</v>
      </c>
      <c r="C28" s="22" t="s">
        <v>65</v>
      </c>
      <c r="D28" s="32" t="s">
        <v>66</v>
      </c>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4"/>
    </row>
    <row r="29" spans="1:33" ht="24" customHeight="1" thickBot="1" x14ac:dyDescent="0.35">
      <c r="A29" s="19"/>
      <c r="B29" s="21" t="s">
        <v>67</v>
      </c>
      <c r="C29" s="21" t="s">
        <v>232</v>
      </c>
      <c r="D29" s="35" t="s">
        <v>233</v>
      </c>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3" ht="16.05" customHeight="1" x14ac:dyDescent="0.3">
      <c r="A30" s="23" t="s">
        <v>69</v>
      </c>
      <c r="B30" s="36" t="s">
        <v>234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4"/>
    </row>
    <row r="31" spans="1:33" ht="24" customHeight="1" x14ac:dyDescent="0.3">
      <c r="A31" s="23" t="s">
        <v>71</v>
      </c>
      <c r="B31" s="35" t="s">
        <v>235</v>
      </c>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4"/>
    </row>
    <row r="32" spans="1:33" ht="13.5" customHeight="1" x14ac:dyDescent="0.3">
      <c r="A32" s="23" t="s">
        <v>73</v>
      </c>
      <c r="B32" s="22" t="s">
        <v>74</v>
      </c>
      <c r="C32" s="22" t="s">
        <v>75</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16.05" customHeight="1" x14ac:dyDescent="0.3">
      <c r="A33" s="23"/>
      <c r="B33" s="24">
        <v>288226</v>
      </c>
      <c r="C33" s="24">
        <v>32</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spans="1:33" ht="6" customHeight="1" x14ac:dyDescent="0.3"/>
    <row r="35" spans="1:33" ht="15" customHeight="1" x14ac:dyDescent="0.3">
      <c r="A35" s="25" t="s">
        <v>76</v>
      </c>
      <c r="B35" s="20" t="s">
        <v>78</v>
      </c>
      <c r="C35" s="20" t="s">
        <v>77</v>
      </c>
      <c r="D35" s="20" t="s">
        <v>236</v>
      </c>
      <c r="E35" s="20" t="s">
        <v>237</v>
      </c>
      <c r="F35" s="20" t="s">
        <v>238</v>
      </c>
      <c r="G35" s="20" t="s">
        <v>239</v>
      </c>
      <c r="H35" s="20" t="s">
        <v>240</v>
      </c>
      <c r="I35" s="20" t="s">
        <v>241</v>
      </c>
      <c r="J35" s="20" t="s">
        <v>242</v>
      </c>
      <c r="K35" s="20" t="s">
        <v>243</v>
      </c>
      <c r="L35" s="20" t="s">
        <v>244</v>
      </c>
      <c r="M35" s="20" t="s">
        <v>245</v>
      </c>
      <c r="N35" s="20" t="s">
        <v>246</v>
      </c>
      <c r="O35" s="20" t="s">
        <v>247</v>
      </c>
      <c r="P35" s="20" t="s">
        <v>248</v>
      </c>
      <c r="Q35" s="20" t="s">
        <v>249</v>
      </c>
      <c r="R35" s="20" t="s">
        <v>250</v>
      </c>
      <c r="S35" s="20" t="s">
        <v>251</v>
      </c>
      <c r="T35" s="20" t="s">
        <v>252</v>
      </c>
      <c r="U35" s="20" t="s">
        <v>253</v>
      </c>
      <c r="V35" s="20" t="s">
        <v>254</v>
      </c>
      <c r="W35" s="20" t="s">
        <v>255</v>
      </c>
      <c r="X35" s="20" t="s">
        <v>256</v>
      </c>
      <c r="Y35" s="20" t="s">
        <v>257</v>
      </c>
      <c r="Z35" s="20" t="s">
        <v>258</v>
      </c>
      <c r="AA35" s="20" t="s">
        <v>259</v>
      </c>
      <c r="AB35" s="20" t="s">
        <v>260</v>
      </c>
      <c r="AC35" s="20" t="s">
        <v>261</v>
      </c>
      <c r="AD35" s="20" t="s">
        <v>262</v>
      </c>
      <c r="AE35" s="20" t="s">
        <v>263</v>
      </c>
      <c r="AF35" s="20" t="s">
        <v>264</v>
      </c>
      <c r="AG35" s="20" t="s">
        <v>265</v>
      </c>
    </row>
    <row r="36" spans="1:33" ht="24" customHeight="1" x14ac:dyDescent="0.3">
      <c r="A36" s="25" t="s">
        <v>105</v>
      </c>
      <c r="B36" s="21" t="s">
        <v>266</v>
      </c>
      <c r="C36" s="21" t="s">
        <v>267</v>
      </c>
      <c r="D36" s="21" t="s">
        <v>268</v>
      </c>
      <c r="E36" s="21" t="s">
        <v>269</v>
      </c>
      <c r="F36" s="21" t="s">
        <v>270</v>
      </c>
      <c r="G36" s="21" t="s">
        <v>271</v>
      </c>
      <c r="H36" s="21" t="s">
        <v>272</v>
      </c>
      <c r="I36" s="21" t="s">
        <v>273</v>
      </c>
      <c r="J36" s="21" t="s">
        <v>274</v>
      </c>
      <c r="K36" s="21" t="s">
        <v>275</v>
      </c>
      <c r="L36" s="21" t="s">
        <v>276</v>
      </c>
      <c r="M36" s="21" t="s">
        <v>277</v>
      </c>
      <c r="N36" s="21" t="s">
        <v>278</v>
      </c>
      <c r="O36" s="21" t="s">
        <v>279</v>
      </c>
      <c r="P36" s="21" t="s">
        <v>280</v>
      </c>
      <c r="Q36" s="21" t="s">
        <v>281</v>
      </c>
      <c r="R36" s="21" t="s">
        <v>282</v>
      </c>
      <c r="S36" s="21" t="s">
        <v>283</v>
      </c>
      <c r="T36" s="21" t="s">
        <v>284</v>
      </c>
      <c r="U36" s="21" t="s">
        <v>285</v>
      </c>
      <c r="V36" s="21" t="s">
        <v>286</v>
      </c>
      <c r="W36" s="21" t="s">
        <v>287</v>
      </c>
      <c r="X36" s="21" t="s">
        <v>288</v>
      </c>
      <c r="Y36" s="21" t="s">
        <v>289</v>
      </c>
      <c r="Z36" s="21" t="s">
        <v>290</v>
      </c>
      <c r="AA36" s="21" t="s">
        <v>291</v>
      </c>
      <c r="AB36" s="21" t="s">
        <v>292</v>
      </c>
      <c r="AC36" s="21" t="s">
        <v>293</v>
      </c>
      <c r="AD36" s="21" t="s">
        <v>294</v>
      </c>
      <c r="AE36" s="21" t="s">
        <v>295</v>
      </c>
      <c r="AF36" s="21" t="s">
        <v>296</v>
      </c>
      <c r="AG36" s="21" t="s">
        <v>297</v>
      </c>
    </row>
    <row r="37" spans="1:33" ht="15" customHeight="1" x14ac:dyDescent="0.3">
      <c r="A37" s="25" t="s">
        <v>133</v>
      </c>
      <c r="B37" s="21" t="s">
        <v>135</v>
      </c>
      <c r="C37" s="21" t="s">
        <v>134</v>
      </c>
      <c r="D37" s="21" t="s">
        <v>139</v>
      </c>
      <c r="E37" s="21" t="s">
        <v>139</v>
      </c>
      <c r="F37" s="21" t="s">
        <v>139</v>
      </c>
      <c r="G37" s="21" t="s">
        <v>136</v>
      </c>
      <c r="H37" s="21" t="s">
        <v>136</v>
      </c>
      <c r="I37" s="21" t="s">
        <v>136</v>
      </c>
      <c r="J37" s="21" t="s">
        <v>136</v>
      </c>
      <c r="K37" s="21" t="s">
        <v>136</v>
      </c>
      <c r="L37" s="21" t="s">
        <v>137</v>
      </c>
      <c r="M37" s="21" t="s">
        <v>137</v>
      </c>
      <c r="N37" s="21" t="s">
        <v>139</v>
      </c>
      <c r="O37" s="21" t="s">
        <v>298</v>
      </c>
      <c r="P37" s="21" t="s">
        <v>299</v>
      </c>
      <c r="Q37" s="21" t="s">
        <v>299</v>
      </c>
      <c r="R37" s="21" t="s">
        <v>299</v>
      </c>
      <c r="S37" s="21" t="s">
        <v>299</v>
      </c>
      <c r="T37" s="21" t="s">
        <v>299</v>
      </c>
      <c r="U37" s="21" t="s">
        <v>299</v>
      </c>
      <c r="V37" s="21" t="s">
        <v>136</v>
      </c>
      <c r="W37" s="21" t="s">
        <v>136</v>
      </c>
      <c r="X37" s="21" t="s">
        <v>136</v>
      </c>
      <c r="Y37" s="21" t="s">
        <v>136</v>
      </c>
      <c r="Z37" s="21" t="s">
        <v>136</v>
      </c>
      <c r="AA37" s="21" t="s">
        <v>137</v>
      </c>
      <c r="AB37" s="21" t="s">
        <v>299</v>
      </c>
      <c r="AC37" s="21" t="s">
        <v>136</v>
      </c>
      <c r="AD37" s="21" t="s">
        <v>134</v>
      </c>
      <c r="AE37" s="21" t="s">
        <v>134</v>
      </c>
      <c r="AF37" s="21" t="s">
        <v>137</v>
      </c>
      <c r="AG37" s="21" t="s">
        <v>137</v>
      </c>
    </row>
    <row r="38" spans="1:33" ht="24" customHeight="1" x14ac:dyDescent="0.3">
      <c r="A38" s="25" t="s">
        <v>140</v>
      </c>
      <c r="B38" s="21" t="s">
        <v>300</v>
      </c>
      <c r="C38" s="21" t="s">
        <v>301</v>
      </c>
      <c r="D38" s="21" t="s">
        <v>302</v>
      </c>
      <c r="E38" s="21" t="s">
        <v>302</v>
      </c>
      <c r="F38" s="21" t="s">
        <v>302</v>
      </c>
      <c r="G38" s="21" t="s">
        <v>143</v>
      </c>
      <c r="H38" s="21" t="s">
        <v>143</v>
      </c>
      <c r="I38" s="21" t="s">
        <v>143</v>
      </c>
      <c r="J38" s="21" t="s">
        <v>143</v>
      </c>
      <c r="K38" s="21" t="s">
        <v>143</v>
      </c>
      <c r="L38" s="21" t="s">
        <v>143</v>
      </c>
      <c r="M38" s="21" t="s">
        <v>143</v>
      </c>
      <c r="N38" s="21" t="s">
        <v>302</v>
      </c>
      <c r="O38" s="21" t="s">
        <v>303</v>
      </c>
      <c r="P38" s="21" t="s">
        <v>143</v>
      </c>
      <c r="Q38" s="21" t="s">
        <v>143</v>
      </c>
      <c r="R38" s="21" t="s">
        <v>143</v>
      </c>
      <c r="S38" s="21" t="s">
        <v>143</v>
      </c>
      <c r="T38" s="21" t="s">
        <v>143</v>
      </c>
      <c r="U38" s="21" t="s">
        <v>143</v>
      </c>
      <c r="V38" s="21" t="s">
        <v>143</v>
      </c>
      <c r="W38" s="21" t="s">
        <v>143</v>
      </c>
      <c r="X38" s="21" t="s">
        <v>143</v>
      </c>
      <c r="Y38" s="21" t="s">
        <v>143</v>
      </c>
      <c r="Z38" s="21" t="s">
        <v>143</v>
      </c>
      <c r="AA38" s="21" t="s">
        <v>143</v>
      </c>
      <c r="AB38" s="21" t="s">
        <v>143</v>
      </c>
      <c r="AC38" s="21" t="s">
        <v>143</v>
      </c>
      <c r="AD38" s="21" t="s">
        <v>147</v>
      </c>
      <c r="AE38" s="21" t="s">
        <v>147</v>
      </c>
      <c r="AF38" s="21" t="s">
        <v>145</v>
      </c>
      <c r="AG38" s="21" t="s">
        <v>145</v>
      </c>
    </row>
    <row r="39" spans="1:33" ht="36" customHeight="1" x14ac:dyDescent="0.3">
      <c r="A39" s="26" t="s">
        <v>149</v>
      </c>
      <c r="B39" s="21" t="s">
        <v>304</v>
      </c>
      <c r="C39" s="21" t="s">
        <v>305</v>
      </c>
      <c r="D39" s="21" t="s">
        <v>306</v>
      </c>
      <c r="E39" s="21" t="s">
        <v>307</v>
      </c>
      <c r="F39" s="21" t="s">
        <v>308</v>
      </c>
      <c r="G39" s="21" t="s">
        <v>309</v>
      </c>
      <c r="H39" s="21" t="s">
        <v>310</v>
      </c>
      <c r="I39" s="21" t="s">
        <v>309</v>
      </c>
      <c r="J39" s="21" t="s">
        <v>311</v>
      </c>
      <c r="K39" s="21" t="s">
        <v>311</v>
      </c>
      <c r="L39" s="21" t="s">
        <v>312</v>
      </c>
      <c r="M39" s="21" t="s">
        <v>313</v>
      </c>
      <c r="N39" s="21" t="s">
        <v>314</v>
      </c>
      <c r="O39" s="21" t="s">
        <v>315</v>
      </c>
      <c r="P39" s="21" t="s">
        <v>309</v>
      </c>
      <c r="Q39" s="21" t="s">
        <v>316</v>
      </c>
      <c r="R39" s="21" t="s">
        <v>309</v>
      </c>
      <c r="S39" s="21" t="s">
        <v>317</v>
      </c>
      <c r="T39" s="21" t="s">
        <v>309</v>
      </c>
      <c r="U39" s="21" t="s">
        <v>309</v>
      </c>
      <c r="V39" s="21" t="s">
        <v>316</v>
      </c>
      <c r="W39" s="21" t="s">
        <v>309</v>
      </c>
      <c r="X39" s="21" t="s">
        <v>317</v>
      </c>
      <c r="Y39" s="21" t="s">
        <v>309</v>
      </c>
      <c r="Z39" s="21" t="s">
        <v>309</v>
      </c>
      <c r="AA39" s="21" t="s">
        <v>318</v>
      </c>
      <c r="AB39" s="21" t="s">
        <v>309</v>
      </c>
      <c r="AC39" s="21" t="s">
        <v>319</v>
      </c>
      <c r="AD39" s="21" t="s">
        <v>152</v>
      </c>
      <c r="AE39" s="21" t="s">
        <v>319</v>
      </c>
      <c r="AF39" s="21" t="s">
        <v>320</v>
      </c>
      <c r="AG39" s="21" t="s">
        <v>321</v>
      </c>
    </row>
    <row r="40" spans="1:33" ht="15" customHeight="1" x14ac:dyDescent="0.3">
      <c r="A40" s="26" t="s">
        <v>176</v>
      </c>
      <c r="B40" s="24">
        <v>19</v>
      </c>
      <c r="C40" s="24">
        <v>1212</v>
      </c>
      <c r="D40" s="24">
        <v>727</v>
      </c>
      <c r="E40" s="24">
        <v>568</v>
      </c>
      <c r="F40" s="24">
        <v>715</v>
      </c>
      <c r="G40" s="24">
        <v>20</v>
      </c>
      <c r="H40" s="24">
        <v>11</v>
      </c>
      <c r="I40" s="24">
        <v>7</v>
      </c>
      <c r="J40" s="24">
        <v>7</v>
      </c>
      <c r="K40" s="24">
        <v>8</v>
      </c>
      <c r="L40" s="24">
        <v>2</v>
      </c>
      <c r="M40" s="24">
        <v>21</v>
      </c>
      <c r="N40" s="24">
        <v>676</v>
      </c>
      <c r="O40" s="24">
        <v>1129</v>
      </c>
      <c r="P40" s="24">
        <v>2</v>
      </c>
      <c r="Q40" s="24">
        <v>2</v>
      </c>
      <c r="R40" s="24">
        <v>2</v>
      </c>
      <c r="S40" s="24">
        <v>2</v>
      </c>
      <c r="T40" s="24">
        <v>2</v>
      </c>
      <c r="U40" s="24">
        <v>2</v>
      </c>
      <c r="V40" s="24">
        <v>6</v>
      </c>
      <c r="W40" s="24">
        <v>5</v>
      </c>
      <c r="X40" s="24">
        <v>6</v>
      </c>
      <c r="Y40" s="24">
        <v>5</v>
      </c>
      <c r="Z40" s="24">
        <v>2</v>
      </c>
      <c r="AA40" s="24">
        <v>10</v>
      </c>
      <c r="AB40" s="24">
        <v>2</v>
      </c>
      <c r="AC40" s="24">
        <v>6</v>
      </c>
      <c r="AD40" s="24">
        <v>14</v>
      </c>
      <c r="AE40" s="24">
        <v>14</v>
      </c>
      <c r="AF40" s="24">
        <v>14</v>
      </c>
      <c r="AG40" s="24">
        <v>14</v>
      </c>
    </row>
    <row r="41" spans="1:33" ht="60" customHeight="1" x14ac:dyDescent="0.3">
      <c r="A41" s="26" t="s">
        <v>177</v>
      </c>
      <c r="B41" s="21" t="s">
        <v>179</v>
      </c>
      <c r="C41" s="21" t="s">
        <v>178</v>
      </c>
      <c r="D41" s="21" t="s">
        <v>178</v>
      </c>
      <c r="E41" s="21" t="s">
        <v>178</v>
      </c>
      <c r="F41" s="21" t="s">
        <v>178</v>
      </c>
      <c r="G41" s="21" t="s">
        <v>322</v>
      </c>
      <c r="H41" s="21" t="s">
        <v>323</v>
      </c>
      <c r="I41" s="21" t="s">
        <v>324</v>
      </c>
      <c r="J41" s="21" t="s">
        <v>325</v>
      </c>
      <c r="K41" s="21" t="s">
        <v>326</v>
      </c>
      <c r="L41" s="21" t="s">
        <v>327</v>
      </c>
      <c r="M41" s="21" t="s">
        <v>178</v>
      </c>
      <c r="N41" s="21" t="s">
        <v>178</v>
      </c>
      <c r="O41" s="21" t="s">
        <v>178</v>
      </c>
      <c r="P41" s="21" t="s">
        <v>328</v>
      </c>
      <c r="Q41" s="21" t="s">
        <v>328</v>
      </c>
      <c r="R41" s="21" t="s">
        <v>328</v>
      </c>
      <c r="S41" s="21" t="s">
        <v>328</v>
      </c>
      <c r="T41" s="21" t="s">
        <v>328</v>
      </c>
      <c r="U41" s="21" t="s">
        <v>328</v>
      </c>
      <c r="V41" s="21" t="s">
        <v>329</v>
      </c>
      <c r="W41" s="21" t="s">
        <v>330</v>
      </c>
      <c r="X41" s="21" t="s">
        <v>329</v>
      </c>
      <c r="Y41" s="21" t="s">
        <v>331</v>
      </c>
      <c r="Z41" s="21" t="s">
        <v>332</v>
      </c>
      <c r="AA41" s="21" t="s">
        <v>333</v>
      </c>
      <c r="AB41" s="21" t="s">
        <v>328</v>
      </c>
      <c r="AC41" s="21" t="s">
        <v>334</v>
      </c>
      <c r="AD41" s="21" t="s">
        <v>192</v>
      </c>
      <c r="AE41" s="21" t="s">
        <v>335</v>
      </c>
      <c r="AF41" s="21" t="s">
        <v>336</v>
      </c>
      <c r="AG41" s="21" t="s">
        <v>336</v>
      </c>
    </row>
    <row r="42" spans="1:33" ht="15" customHeight="1" x14ac:dyDescent="0.3">
      <c r="A42" s="26" t="s">
        <v>194</v>
      </c>
      <c r="B42" s="21" t="s">
        <v>195</v>
      </c>
      <c r="C42" s="21" t="s">
        <v>195</v>
      </c>
      <c r="D42" s="21" t="s">
        <v>195</v>
      </c>
      <c r="E42" s="21" t="s">
        <v>195</v>
      </c>
      <c r="F42" s="21" t="s">
        <v>195</v>
      </c>
      <c r="G42" s="21" t="s">
        <v>195</v>
      </c>
      <c r="H42" s="21" t="s">
        <v>195</v>
      </c>
      <c r="I42" s="21" t="s">
        <v>195</v>
      </c>
      <c r="J42" s="21" t="s">
        <v>195</v>
      </c>
      <c r="K42" s="21" t="s">
        <v>195</v>
      </c>
      <c r="L42" s="21" t="s">
        <v>337</v>
      </c>
      <c r="M42" s="21" t="s">
        <v>338</v>
      </c>
      <c r="N42" s="21" t="s">
        <v>339</v>
      </c>
      <c r="O42" s="21" t="s">
        <v>339</v>
      </c>
      <c r="P42" s="21" t="s">
        <v>195</v>
      </c>
      <c r="Q42" s="21" t="s">
        <v>195</v>
      </c>
      <c r="R42" s="21" t="s">
        <v>195</v>
      </c>
      <c r="S42" s="21" t="s">
        <v>195</v>
      </c>
      <c r="T42" s="21" t="s">
        <v>195</v>
      </c>
      <c r="U42" s="21" t="s">
        <v>195</v>
      </c>
      <c r="V42" s="21" t="s">
        <v>195</v>
      </c>
      <c r="W42" s="21" t="s">
        <v>195</v>
      </c>
      <c r="X42" s="21" t="s">
        <v>195</v>
      </c>
      <c r="Y42" s="21" t="s">
        <v>195</v>
      </c>
      <c r="Z42" s="21" t="s">
        <v>195</v>
      </c>
      <c r="AA42" s="21" t="s">
        <v>339</v>
      </c>
      <c r="AB42" s="21" t="s">
        <v>195</v>
      </c>
      <c r="AC42" s="21" t="s">
        <v>195</v>
      </c>
      <c r="AD42" s="21" t="s">
        <v>195</v>
      </c>
      <c r="AE42" s="21" t="s">
        <v>195</v>
      </c>
      <c r="AF42" s="21" t="s">
        <v>195</v>
      </c>
      <c r="AG42" s="21" t="s">
        <v>195</v>
      </c>
    </row>
    <row r="43" spans="1:33" ht="264" customHeight="1" x14ac:dyDescent="0.3">
      <c r="A43" s="26" t="s">
        <v>201</v>
      </c>
      <c r="B43" s="21" t="s">
        <v>340</v>
      </c>
      <c r="C43" s="21" t="s">
        <v>341</v>
      </c>
      <c r="D43" s="21" t="s">
        <v>342</v>
      </c>
      <c r="E43" s="21" t="s">
        <v>343</v>
      </c>
      <c r="F43" s="21" t="s">
        <v>344</v>
      </c>
      <c r="G43" s="21" t="s">
        <v>345</v>
      </c>
      <c r="H43" s="21" t="s">
        <v>346</v>
      </c>
      <c r="I43" s="21" t="s">
        <v>347</v>
      </c>
      <c r="J43" s="21" t="s">
        <v>348</v>
      </c>
      <c r="K43" s="21" t="s">
        <v>349</v>
      </c>
      <c r="L43" s="21" t="s">
        <v>350</v>
      </c>
      <c r="M43" s="21" t="s">
        <v>351</v>
      </c>
      <c r="N43" s="21" t="s">
        <v>352</v>
      </c>
      <c r="O43" s="21" t="s">
        <v>353</v>
      </c>
      <c r="P43" s="21" t="s">
        <v>354</v>
      </c>
      <c r="Q43" s="21" t="s">
        <v>355</v>
      </c>
      <c r="R43" s="21" t="s">
        <v>356</v>
      </c>
      <c r="S43" s="21" t="s">
        <v>357</v>
      </c>
      <c r="T43" s="21" t="s">
        <v>358</v>
      </c>
      <c r="U43" s="21" t="s">
        <v>359</v>
      </c>
      <c r="V43" s="21" t="s">
        <v>360</v>
      </c>
      <c r="W43" s="21" t="s">
        <v>361</v>
      </c>
      <c r="X43" s="21" t="s">
        <v>362</v>
      </c>
      <c r="Y43" s="21" t="s">
        <v>363</v>
      </c>
      <c r="Z43" s="21" t="s">
        <v>364</v>
      </c>
      <c r="AA43" s="21" t="s">
        <v>365</v>
      </c>
      <c r="AB43" s="21" t="s">
        <v>366</v>
      </c>
      <c r="AC43" s="21" t="s">
        <v>367</v>
      </c>
      <c r="AD43" s="21" t="s">
        <v>368</v>
      </c>
      <c r="AE43" s="21" t="s">
        <v>369</v>
      </c>
      <c r="AF43" s="21" t="s">
        <v>370</v>
      </c>
      <c r="AG43" s="21" t="s">
        <v>371</v>
      </c>
    </row>
    <row r="48" spans="1:33" ht="16.05" customHeight="1" x14ac:dyDescent="0.3">
      <c r="A48" s="19" t="s">
        <v>59</v>
      </c>
      <c r="B48" s="36" t="s">
        <v>372</v>
      </c>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4"/>
    </row>
    <row r="49" spans="1:33" ht="16.05" customHeight="1" x14ac:dyDescent="0.3">
      <c r="A49" s="19" t="s">
        <v>61</v>
      </c>
      <c r="B49" s="35" t="s">
        <v>373</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4"/>
    </row>
    <row r="50" spans="1:33" ht="13.5" customHeight="1" x14ac:dyDescent="0.3">
      <c r="A50" s="19" t="s">
        <v>63</v>
      </c>
      <c r="B50" s="22" t="s">
        <v>64</v>
      </c>
      <c r="C50" s="22" t="s">
        <v>65</v>
      </c>
      <c r="D50" s="32" t="s">
        <v>66</v>
      </c>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4"/>
    </row>
    <row r="51" spans="1:33" ht="16.05" customHeight="1" x14ac:dyDescent="0.3">
      <c r="A51" s="19"/>
      <c r="B51" s="21" t="s">
        <v>67</v>
      </c>
      <c r="C51" s="21" t="s">
        <v>374</v>
      </c>
      <c r="D51" s="35" t="s">
        <v>375</v>
      </c>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4"/>
    </row>
    <row r="52" spans="1:33" ht="16.05" customHeight="1" x14ac:dyDescent="0.3">
      <c r="A52" s="23" t="s">
        <v>69</v>
      </c>
      <c r="B52" s="36" t="s">
        <v>376</v>
      </c>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4"/>
    </row>
    <row r="53" spans="1:33" ht="16.05" customHeight="1" x14ac:dyDescent="0.3">
      <c r="A53" s="23" t="s">
        <v>71</v>
      </c>
      <c r="B53" s="35" t="s">
        <v>377</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4"/>
    </row>
    <row r="54" spans="1:33" ht="13.5" customHeight="1" x14ac:dyDescent="0.3">
      <c r="A54" s="23" t="s">
        <v>73</v>
      </c>
      <c r="B54" s="22" t="s">
        <v>74</v>
      </c>
      <c r="C54" s="22" t="s">
        <v>75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1:33" ht="16.05" customHeight="1" x14ac:dyDescent="0.3">
      <c r="A55" s="23"/>
      <c r="B55" s="24">
        <v>799</v>
      </c>
      <c r="C55" s="24">
        <v>6</v>
      </c>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spans="1:33" ht="6" customHeight="1" x14ac:dyDescent="0.3"/>
    <row r="57" spans="1:33" ht="15" customHeight="1" x14ac:dyDescent="0.3">
      <c r="A57" s="25" t="s">
        <v>76</v>
      </c>
      <c r="B57" s="20" t="s">
        <v>378</v>
      </c>
      <c r="C57" s="20" t="s">
        <v>379</v>
      </c>
      <c r="D57" s="20" t="s">
        <v>380</v>
      </c>
      <c r="E57" s="20" t="s">
        <v>381</v>
      </c>
      <c r="F57" s="20" t="s">
        <v>382</v>
      </c>
      <c r="G57" s="20" t="s">
        <v>383</v>
      </c>
    </row>
    <row r="58" spans="1:33" ht="24" customHeight="1" x14ac:dyDescent="0.3">
      <c r="A58" s="25" t="s">
        <v>105</v>
      </c>
      <c r="B58" s="21" t="s">
        <v>384</v>
      </c>
      <c r="C58" s="21" t="s">
        <v>385</v>
      </c>
      <c r="D58" s="21" t="s">
        <v>386</v>
      </c>
      <c r="E58" s="21" t="s">
        <v>387</v>
      </c>
      <c r="F58" s="21" t="s">
        <v>388</v>
      </c>
      <c r="G58" s="21" t="s">
        <v>389</v>
      </c>
    </row>
    <row r="59" spans="1:33" ht="15" customHeight="1" x14ac:dyDescent="0.3">
      <c r="A59" s="25" t="s">
        <v>133</v>
      </c>
      <c r="B59" s="21" t="s">
        <v>134</v>
      </c>
      <c r="C59" s="21" t="s">
        <v>139</v>
      </c>
      <c r="D59" s="21" t="s">
        <v>137</v>
      </c>
      <c r="E59" s="21" t="s">
        <v>137</v>
      </c>
      <c r="F59" s="21" t="s">
        <v>137</v>
      </c>
      <c r="G59" s="21" t="s">
        <v>139</v>
      </c>
    </row>
    <row r="60" spans="1:33" ht="24" customHeight="1" x14ac:dyDescent="0.3">
      <c r="A60" s="25" t="s">
        <v>140</v>
      </c>
      <c r="B60" s="21" t="s">
        <v>141</v>
      </c>
      <c r="C60" s="21" t="s">
        <v>390</v>
      </c>
      <c r="D60" s="21" t="s">
        <v>143</v>
      </c>
      <c r="E60" s="21" t="s">
        <v>143</v>
      </c>
      <c r="F60" s="21" t="s">
        <v>143</v>
      </c>
      <c r="G60" s="21" t="s">
        <v>143</v>
      </c>
    </row>
    <row r="61" spans="1:33" ht="36" customHeight="1" x14ac:dyDescent="0.3">
      <c r="A61" s="26" t="s">
        <v>149</v>
      </c>
      <c r="B61" s="21" t="s">
        <v>391</v>
      </c>
      <c r="C61" s="21" t="s">
        <v>392</v>
      </c>
      <c r="D61" s="21" t="s">
        <v>393</v>
      </c>
      <c r="E61" s="21" t="s">
        <v>394</v>
      </c>
      <c r="F61" s="21" t="s">
        <v>395</v>
      </c>
      <c r="G61" s="21" t="s">
        <v>396</v>
      </c>
    </row>
    <row r="62" spans="1:33" ht="15" customHeight="1" x14ac:dyDescent="0.3">
      <c r="A62" s="26" t="s">
        <v>176</v>
      </c>
      <c r="B62" s="24">
        <v>799</v>
      </c>
      <c r="C62" s="24">
        <v>799</v>
      </c>
      <c r="D62" s="24">
        <v>2</v>
      </c>
      <c r="E62" s="24">
        <v>23</v>
      </c>
      <c r="F62" s="24">
        <v>7</v>
      </c>
      <c r="G62" s="24">
        <v>799</v>
      </c>
    </row>
    <row r="63" spans="1:33" ht="60" customHeight="1" x14ac:dyDescent="0.3">
      <c r="A63" s="26" t="s">
        <v>177</v>
      </c>
      <c r="B63" s="21" t="s">
        <v>178</v>
      </c>
      <c r="C63" s="21" t="s">
        <v>178</v>
      </c>
      <c r="D63" s="21" t="s">
        <v>327</v>
      </c>
      <c r="E63" s="21" t="s">
        <v>178</v>
      </c>
      <c r="F63" s="21" t="s">
        <v>397</v>
      </c>
      <c r="G63" s="21" t="s">
        <v>178</v>
      </c>
    </row>
    <row r="64" spans="1:33" ht="15" customHeight="1" x14ac:dyDescent="0.3">
      <c r="A64" s="26" t="s">
        <v>194</v>
      </c>
      <c r="B64" s="21" t="s">
        <v>195</v>
      </c>
      <c r="C64" s="21" t="s">
        <v>195</v>
      </c>
      <c r="D64" s="21" t="s">
        <v>195</v>
      </c>
      <c r="E64" s="21" t="s">
        <v>398</v>
      </c>
      <c r="F64" s="21" t="s">
        <v>399</v>
      </c>
      <c r="G64" s="21" t="s">
        <v>195</v>
      </c>
    </row>
    <row r="65" spans="1:33" ht="348" customHeight="1" x14ac:dyDescent="0.3">
      <c r="A65" s="26" t="s">
        <v>201</v>
      </c>
      <c r="B65" s="21" t="s">
        <v>400</v>
      </c>
      <c r="C65" s="21" t="s">
        <v>401</v>
      </c>
      <c r="D65" s="21" t="s">
        <v>402</v>
      </c>
      <c r="E65" s="21" t="s">
        <v>403</v>
      </c>
      <c r="F65" s="21" t="s">
        <v>404</v>
      </c>
      <c r="G65" s="21" t="s">
        <v>405</v>
      </c>
    </row>
    <row r="70" spans="1:33" ht="16.05" customHeight="1" x14ac:dyDescent="0.3">
      <c r="A70" s="19" t="s">
        <v>59</v>
      </c>
      <c r="B70" s="36" t="s">
        <v>406</v>
      </c>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4"/>
    </row>
    <row r="71" spans="1:33" ht="24" customHeight="1" x14ac:dyDescent="0.3">
      <c r="A71" s="19" t="s">
        <v>61</v>
      </c>
      <c r="B71" s="35" t="s">
        <v>407</v>
      </c>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4"/>
    </row>
    <row r="72" spans="1:33" ht="13.5" customHeight="1" x14ac:dyDescent="0.3">
      <c r="A72" s="19" t="s">
        <v>63</v>
      </c>
      <c r="B72" s="22" t="s">
        <v>64</v>
      </c>
      <c r="C72" s="22" t="s">
        <v>65</v>
      </c>
      <c r="D72" s="32" t="s">
        <v>66</v>
      </c>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4"/>
    </row>
    <row r="73" spans="1:33" ht="16.05" customHeight="1" x14ac:dyDescent="0.3">
      <c r="A73" s="19"/>
      <c r="B73" s="21" t="s">
        <v>67</v>
      </c>
      <c r="C73" s="21" t="s">
        <v>408</v>
      </c>
      <c r="D73" s="35" t="s">
        <v>409</v>
      </c>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4"/>
    </row>
    <row r="74" spans="1:33" ht="16.05" customHeight="1" x14ac:dyDescent="0.3">
      <c r="A74" s="23" t="s">
        <v>69</v>
      </c>
      <c r="B74" s="36" t="s">
        <v>410</v>
      </c>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4"/>
    </row>
    <row r="75" spans="1:33" ht="24" customHeight="1" x14ac:dyDescent="0.3">
      <c r="A75" s="23" t="s">
        <v>71</v>
      </c>
      <c r="B75" s="35" t="s">
        <v>411</v>
      </c>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4"/>
    </row>
    <row r="76" spans="1:33" ht="13.5" customHeight="1" x14ac:dyDescent="0.3">
      <c r="A76" s="23" t="s">
        <v>73</v>
      </c>
      <c r="B76" s="22" t="s">
        <v>74</v>
      </c>
      <c r="C76" s="22" t="s">
        <v>75</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3" ht="16.05" customHeight="1" x14ac:dyDescent="0.3">
      <c r="A77" s="23"/>
      <c r="B77" s="24">
        <v>16</v>
      </c>
      <c r="C77" s="24">
        <v>2</v>
      </c>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spans="1:33" ht="6" customHeight="1" x14ac:dyDescent="0.3"/>
    <row r="79" spans="1:33" ht="15" customHeight="1" x14ac:dyDescent="0.3">
      <c r="A79" s="25" t="s">
        <v>76</v>
      </c>
      <c r="B79" s="20" t="s">
        <v>412</v>
      </c>
      <c r="C79" s="20" t="s">
        <v>413</v>
      </c>
    </row>
    <row r="80" spans="1:33" ht="24" customHeight="1" x14ac:dyDescent="0.3">
      <c r="A80" s="25" t="s">
        <v>105</v>
      </c>
      <c r="B80" s="21" t="s">
        <v>414</v>
      </c>
      <c r="C80" s="21" t="s">
        <v>415</v>
      </c>
    </row>
    <row r="81" spans="1:33" ht="15" customHeight="1" x14ac:dyDescent="0.3">
      <c r="A81" s="25" t="s">
        <v>133</v>
      </c>
      <c r="B81" s="21" t="s">
        <v>134</v>
      </c>
      <c r="C81" s="21" t="s">
        <v>139</v>
      </c>
    </row>
    <row r="82" spans="1:33" ht="15" customHeight="1" x14ac:dyDescent="0.3">
      <c r="A82" s="25" t="s">
        <v>140</v>
      </c>
      <c r="B82" s="21" t="s">
        <v>141</v>
      </c>
      <c r="C82" s="21" t="s">
        <v>416</v>
      </c>
    </row>
    <row r="83" spans="1:33" ht="36" customHeight="1" x14ac:dyDescent="0.3">
      <c r="A83" s="26" t="s">
        <v>149</v>
      </c>
      <c r="B83" s="21" t="s">
        <v>417</v>
      </c>
      <c r="C83" s="21" t="s">
        <v>418</v>
      </c>
    </row>
    <row r="84" spans="1:33" ht="15" customHeight="1" x14ac:dyDescent="0.3">
      <c r="A84" s="26" t="s">
        <v>176</v>
      </c>
      <c r="B84" s="24">
        <v>16</v>
      </c>
      <c r="C84" s="24">
        <v>16</v>
      </c>
    </row>
    <row r="85" spans="1:33" ht="144" customHeight="1" x14ac:dyDescent="0.3">
      <c r="A85" s="26" t="s">
        <v>177</v>
      </c>
      <c r="B85" s="21" t="s">
        <v>419</v>
      </c>
      <c r="C85" s="21" t="s">
        <v>420</v>
      </c>
    </row>
    <row r="86" spans="1:33" ht="15" customHeight="1" x14ac:dyDescent="0.3">
      <c r="A86" s="26" t="s">
        <v>194</v>
      </c>
      <c r="B86" s="21" t="s">
        <v>195</v>
      </c>
      <c r="C86" s="21" t="s">
        <v>195</v>
      </c>
    </row>
    <row r="87" spans="1:33" ht="372" customHeight="1" x14ac:dyDescent="0.3">
      <c r="A87" s="26" t="s">
        <v>201</v>
      </c>
      <c r="B87" s="21" t="s">
        <v>421</v>
      </c>
      <c r="C87" s="21" t="s">
        <v>422</v>
      </c>
    </row>
    <row r="92" spans="1:33" ht="16.05" customHeight="1" x14ac:dyDescent="0.3">
      <c r="A92" s="19" t="s">
        <v>59</v>
      </c>
      <c r="B92" s="36" t="s">
        <v>423</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4"/>
    </row>
    <row r="93" spans="1:33" ht="24" customHeight="1" x14ac:dyDescent="0.3">
      <c r="A93" s="19" t="s">
        <v>61</v>
      </c>
      <c r="B93" s="35" t="s">
        <v>424</v>
      </c>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4"/>
    </row>
    <row r="94" spans="1:33" ht="13.5" customHeight="1" x14ac:dyDescent="0.3">
      <c r="A94" s="19" t="s">
        <v>63</v>
      </c>
      <c r="B94" s="22" t="s">
        <v>64</v>
      </c>
      <c r="C94" s="22" t="s">
        <v>65</v>
      </c>
      <c r="D94" s="32" t="s">
        <v>66</v>
      </c>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4"/>
    </row>
    <row r="95" spans="1:33" ht="16.05" customHeight="1" x14ac:dyDescent="0.3">
      <c r="A95" s="19"/>
      <c r="B95" s="21" t="s">
        <v>67</v>
      </c>
      <c r="C95" s="21" t="s">
        <v>425</v>
      </c>
      <c r="D95" s="35" t="s">
        <v>426</v>
      </c>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4"/>
    </row>
    <row r="96" spans="1:33" ht="16.05" customHeight="1" x14ac:dyDescent="0.3">
      <c r="A96" s="23" t="s">
        <v>69</v>
      </c>
      <c r="B96" s="36" t="s">
        <v>427</v>
      </c>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4"/>
    </row>
    <row r="97" spans="1:33" ht="16.05" customHeight="1" x14ac:dyDescent="0.3">
      <c r="A97" s="23" t="s">
        <v>71</v>
      </c>
      <c r="B97" s="35" t="s">
        <v>428</v>
      </c>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4"/>
    </row>
    <row r="98" spans="1:33" ht="13.5" customHeight="1" x14ac:dyDescent="0.3">
      <c r="A98" s="23" t="s">
        <v>73</v>
      </c>
      <c r="B98" s="22" t="s">
        <v>74</v>
      </c>
      <c r="C98" s="22" t="s">
        <v>75</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spans="1:33" ht="16.05" customHeight="1" x14ac:dyDescent="0.3">
      <c r="A99" s="23"/>
      <c r="B99" s="24">
        <v>63</v>
      </c>
      <c r="C99" s="24">
        <v>3</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spans="1:33" ht="6" customHeight="1" x14ac:dyDescent="0.3"/>
    <row r="101" spans="1:33" ht="15" customHeight="1" x14ac:dyDescent="0.3">
      <c r="A101" s="25" t="s">
        <v>76</v>
      </c>
      <c r="B101" s="20" t="s">
        <v>429</v>
      </c>
      <c r="C101" s="20" t="s">
        <v>90</v>
      </c>
      <c r="D101" s="20" t="s">
        <v>80</v>
      </c>
    </row>
    <row r="102" spans="1:33" ht="24" customHeight="1" x14ac:dyDescent="0.3">
      <c r="A102" s="25" t="s">
        <v>105</v>
      </c>
      <c r="B102" s="21" t="s">
        <v>430</v>
      </c>
      <c r="C102" s="21" t="s">
        <v>431</v>
      </c>
      <c r="D102" s="21" t="s">
        <v>432</v>
      </c>
    </row>
    <row r="103" spans="1:33" ht="15" customHeight="1" x14ac:dyDescent="0.3">
      <c r="A103" s="25" t="s">
        <v>133</v>
      </c>
      <c r="B103" s="21" t="s">
        <v>134</v>
      </c>
      <c r="C103" s="21" t="s">
        <v>139</v>
      </c>
      <c r="D103" s="21" t="s">
        <v>139</v>
      </c>
    </row>
    <row r="104" spans="1:33" ht="24" customHeight="1" x14ac:dyDescent="0.3">
      <c r="A104" s="25" t="s">
        <v>140</v>
      </c>
      <c r="B104" s="21" t="s">
        <v>141</v>
      </c>
      <c r="C104" s="21" t="s">
        <v>433</v>
      </c>
      <c r="D104" s="21" t="s">
        <v>143</v>
      </c>
    </row>
    <row r="105" spans="1:33" ht="48" customHeight="1" x14ac:dyDescent="0.3">
      <c r="A105" s="26" t="s">
        <v>149</v>
      </c>
      <c r="B105" s="21" t="s">
        <v>417</v>
      </c>
      <c r="C105" s="21" t="s">
        <v>161</v>
      </c>
      <c r="D105" s="21" t="s">
        <v>153</v>
      </c>
    </row>
    <row r="106" spans="1:33" ht="15" customHeight="1" x14ac:dyDescent="0.3">
      <c r="A106" s="26" t="s">
        <v>176</v>
      </c>
      <c r="B106" s="24">
        <v>63</v>
      </c>
      <c r="C106" s="24">
        <v>59</v>
      </c>
      <c r="D106" s="24">
        <v>37</v>
      </c>
    </row>
    <row r="107" spans="1:33" ht="15" customHeight="1" x14ac:dyDescent="0.3">
      <c r="A107" s="26" t="s">
        <v>177</v>
      </c>
      <c r="B107" s="21" t="s">
        <v>178</v>
      </c>
      <c r="C107" s="21" t="s">
        <v>178</v>
      </c>
      <c r="D107" s="21" t="s">
        <v>178</v>
      </c>
    </row>
    <row r="108" spans="1:33" ht="15" customHeight="1" x14ac:dyDescent="0.3">
      <c r="A108" s="26" t="s">
        <v>194</v>
      </c>
      <c r="B108" s="21" t="s">
        <v>195</v>
      </c>
      <c r="C108" s="21" t="s">
        <v>195</v>
      </c>
      <c r="D108" s="21" t="s">
        <v>434</v>
      </c>
    </row>
    <row r="109" spans="1:33" ht="312" customHeight="1" x14ac:dyDescent="0.3">
      <c r="A109" s="26" t="s">
        <v>201</v>
      </c>
      <c r="B109" s="21" t="s">
        <v>435</v>
      </c>
      <c r="C109" s="21" t="s">
        <v>436</v>
      </c>
      <c r="D109" s="21" t="s">
        <v>437</v>
      </c>
    </row>
  </sheetData>
  <mergeCells count="32">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activeCell="A6" sqref="A6"/>
    </sheetView>
  </sheetViews>
  <sheetFormatPr defaultColWidth="8.6640625" defaultRowHeight="14.4" x14ac:dyDescent="0.3"/>
  <cols>
    <col min="1" max="5" width="16" customWidth="1"/>
    <col min="6" max="6" width="40" customWidth="1"/>
  </cols>
  <sheetData>
    <row r="1" spans="1:6" ht="21" customHeight="1" x14ac:dyDescent="0.4">
      <c r="A1" s="30" t="s">
        <v>0</v>
      </c>
      <c r="B1" s="31"/>
      <c r="C1" s="31"/>
      <c r="D1" s="31"/>
      <c r="E1" s="31"/>
      <c r="F1" s="31"/>
    </row>
    <row r="2" spans="1:6" x14ac:dyDescent="0.3">
      <c r="A2" s="37" t="s">
        <v>1</v>
      </c>
      <c r="B2" s="31"/>
      <c r="C2" s="31"/>
      <c r="D2" s="31"/>
      <c r="E2" s="31"/>
      <c r="F2" s="31"/>
    </row>
    <row r="4" spans="1:6" ht="27.6" customHeight="1" x14ac:dyDescent="0.3">
      <c r="A4" s="14" t="s">
        <v>2</v>
      </c>
      <c r="B4" s="14" t="s">
        <v>3</v>
      </c>
      <c r="C4" s="14" t="s">
        <v>4</v>
      </c>
      <c r="D4" s="14" t="s">
        <v>5</v>
      </c>
      <c r="E4" s="14" t="s">
        <v>6</v>
      </c>
      <c r="F4" s="14" t="s">
        <v>7</v>
      </c>
    </row>
    <row r="5" spans="1:6" ht="26.4" customHeight="1" x14ac:dyDescent="0.3">
      <c r="A5" s="12" t="s">
        <v>8</v>
      </c>
      <c r="B5" s="12" t="s">
        <v>9</v>
      </c>
      <c r="C5" s="12" t="s">
        <v>10</v>
      </c>
      <c r="D5" s="12" t="s">
        <v>9</v>
      </c>
      <c r="E5" s="12" t="s">
        <v>11</v>
      </c>
      <c r="F5" s="12" t="s">
        <v>12</v>
      </c>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C387-163B-40CA-AC13-33587A9CD6EE}">
  <sheetPr>
    <tabColor rgb="FF143963"/>
    <pageSetUpPr fitToPage="1"/>
  </sheetPr>
  <dimension ref="A1:G16"/>
  <sheetViews>
    <sheetView showGridLines="0" tabSelected="1" zoomScale="85" zoomScaleNormal="85" workbookViewId="0">
      <pane ySplit="4" topLeftCell="A5" activePane="bottomLeft" state="frozen"/>
      <selection pane="bottomLeft" activeCell="J11" sqref="J11"/>
    </sheetView>
  </sheetViews>
  <sheetFormatPr defaultColWidth="8.6640625" defaultRowHeight="14.4" x14ac:dyDescent="0.3"/>
  <cols>
    <col min="1" max="1" width="6" customWidth="1"/>
    <col min="2" max="2" width="28.88671875" customWidth="1"/>
    <col min="3" max="3" width="71" customWidth="1"/>
    <col min="4" max="4" width="28.109375" customWidth="1"/>
    <col min="5" max="5" width="34" customWidth="1"/>
    <col min="6" max="6" width="33.6640625" customWidth="1"/>
  </cols>
  <sheetData>
    <row r="1" spans="1:7" ht="21" customHeight="1" x14ac:dyDescent="0.4">
      <c r="A1" s="30" t="s">
        <v>24</v>
      </c>
      <c r="B1" s="30"/>
      <c r="C1" s="30"/>
      <c r="D1" s="30"/>
      <c r="E1" s="30"/>
      <c r="F1" s="30"/>
    </row>
    <row r="2" spans="1:7" x14ac:dyDescent="0.3">
      <c r="A2" s="37" t="s">
        <v>438</v>
      </c>
      <c r="B2" s="37"/>
      <c r="C2" s="37"/>
      <c r="D2" s="37"/>
      <c r="E2" s="37"/>
      <c r="F2" s="37"/>
    </row>
    <row r="4" spans="1:7" ht="27.6" customHeight="1" x14ac:dyDescent="0.3">
      <c r="A4" s="14" t="s">
        <v>439</v>
      </c>
      <c r="B4" s="39" t="s">
        <v>440</v>
      </c>
      <c r="C4" s="39" t="s">
        <v>441</v>
      </c>
      <c r="D4" s="39" t="s">
        <v>442</v>
      </c>
      <c r="E4" s="39" t="s">
        <v>443</v>
      </c>
      <c r="F4" s="39" t="s">
        <v>444</v>
      </c>
    </row>
    <row r="5" spans="1:7" ht="43.2" customHeight="1" x14ac:dyDescent="0.3">
      <c r="A5" s="40">
        <f t="shared" ref="A5:A16" si="0">ROW()-4</f>
        <v>1</v>
      </c>
      <c r="B5" s="41" t="s">
        <v>471</v>
      </c>
      <c r="C5" s="41" t="s">
        <v>472</v>
      </c>
      <c r="D5" s="42" t="s">
        <v>446</v>
      </c>
      <c r="E5" s="41" t="s">
        <v>473</v>
      </c>
      <c r="F5" s="42" t="s">
        <v>445</v>
      </c>
    </row>
    <row r="6" spans="1:7" ht="40.799999999999997" customHeight="1" x14ac:dyDescent="0.3">
      <c r="A6" s="40">
        <f t="shared" si="0"/>
        <v>2</v>
      </c>
      <c r="B6" s="41" t="s">
        <v>474</v>
      </c>
      <c r="C6" s="41" t="s">
        <v>475</v>
      </c>
      <c r="D6" s="42" t="s">
        <v>446</v>
      </c>
      <c r="E6" s="41" t="s">
        <v>476</v>
      </c>
      <c r="F6" s="43" t="s">
        <v>480</v>
      </c>
      <c r="G6" s="38"/>
    </row>
    <row r="7" spans="1:7" ht="31.8" customHeight="1" x14ac:dyDescent="0.3">
      <c r="A7" s="40">
        <f t="shared" si="0"/>
        <v>3</v>
      </c>
      <c r="B7" s="41" t="s">
        <v>477</v>
      </c>
      <c r="C7" s="41" t="s">
        <v>478</v>
      </c>
      <c r="D7" s="42" t="s">
        <v>447</v>
      </c>
      <c r="E7" s="41" t="s">
        <v>479</v>
      </c>
      <c r="F7" s="42" t="s">
        <v>445</v>
      </c>
    </row>
    <row r="8" spans="1:7" ht="38.4" customHeight="1" x14ac:dyDescent="0.3">
      <c r="A8" s="40">
        <f t="shared" si="0"/>
        <v>4</v>
      </c>
      <c r="B8" s="41" t="s">
        <v>477</v>
      </c>
      <c r="C8" s="41" t="s">
        <v>481</v>
      </c>
      <c r="D8" s="42" t="s">
        <v>143</v>
      </c>
      <c r="E8" s="41" t="s">
        <v>482</v>
      </c>
      <c r="F8" s="42" t="s">
        <v>445</v>
      </c>
    </row>
    <row r="9" spans="1:7" ht="35.4" customHeight="1" x14ac:dyDescent="0.3">
      <c r="A9" s="40">
        <f t="shared" si="0"/>
        <v>5</v>
      </c>
      <c r="B9" s="41" t="s">
        <v>483</v>
      </c>
      <c r="C9" s="41" t="s">
        <v>484</v>
      </c>
      <c r="D9" s="42" t="s">
        <v>447</v>
      </c>
      <c r="E9" s="41" t="s">
        <v>485</v>
      </c>
      <c r="F9" s="42" t="s">
        <v>445</v>
      </c>
    </row>
    <row r="10" spans="1:7" ht="40.200000000000003" customHeight="1" x14ac:dyDescent="0.3">
      <c r="A10" s="40">
        <f t="shared" si="0"/>
        <v>6</v>
      </c>
      <c r="B10" s="41" t="s">
        <v>483</v>
      </c>
      <c r="C10" s="44" t="s">
        <v>486</v>
      </c>
      <c r="D10" s="42" t="s">
        <v>447</v>
      </c>
      <c r="E10" s="45" t="s">
        <v>487</v>
      </c>
      <c r="F10" s="43" t="s">
        <v>445</v>
      </c>
    </row>
    <row r="11" spans="1:7" ht="40.200000000000003" customHeight="1" x14ac:dyDescent="0.3">
      <c r="A11" s="40">
        <f t="shared" si="0"/>
        <v>7</v>
      </c>
      <c r="B11" s="41" t="s">
        <v>488</v>
      </c>
      <c r="C11" s="41" t="s">
        <v>494</v>
      </c>
      <c r="D11" s="42" t="s">
        <v>448</v>
      </c>
      <c r="E11" s="46" t="s">
        <v>485</v>
      </c>
      <c r="F11" s="42" t="s">
        <v>445</v>
      </c>
    </row>
    <row r="12" spans="1:7" ht="40.200000000000003" customHeight="1" x14ac:dyDescent="0.3">
      <c r="A12" s="40">
        <f t="shared" si="0"/>
        <v>8</v>
      </c>
      <c r="B12" s="41" t="s">
        <v>489</v>
      </c>
      <c r="C12" s="41" t="s">
        <v>495</v>
      </c>
      <c r="D12" s="42" t="s">
        <v>448</v>
      </c>
      <c r="E12" s="41" t="s">
        <v>500</v>
      </c>
      <c r="F12" s="47" t="s">
        <v>445</v>
      </c>
    </row>
    <row r="13" spans="1:7" ht="38.4" customHeight="1" x14ac:dyDescent="0.3">
      <c r="A13" s="40">
        <f t="shared" si="0"/>
        <v>9</v>
      </c>
      <c r="B13" s="41" t="s">
        <v>490</v>
      </c>
      <c r="C13" s="48" t="s">
        <v>496</v>
      </c>
      <c r="D13" s="42" t="s">
        <v>446</v>
      </c>
      <c r="E13" s="41" t="s">
        <v>501</v>
      </c>
      <c r="F13" s="47" t="s">
        <v>445</v>
      </c>
    </row>
    <row r="14" spans="1:7" ht="45.6" customHeight="1" x14ac:dyDescent="0.3">
      <c r="A14" s="40">
        <f t="shared" si="0"/>
        <v>10</v>
      </c>
      <c r="B14" s="41" t="s">
        <v>491</v>
      </c>
      <c r="C14" s="49" t="s">
        <v>497</v>
      </c>
      <c r="D14" s="42" t="s">
        <v>447</v>
      </c>
      <c r="E14" s="45" t="s">
        <v>502</v>
      </c>
      <c r="F14" s="43" t="s">
        <v>445</v>
      </c>
    </row>
    <row r="15" spans="1:7" ht="39" customHeight="1" x14ac:dyDescent="0.3">
      <c r="A15" s="40">
        <f t="shared" si="0"/>
        <v>11</v>
      </c>
      <c r="B15" s="41" t="s">
        <v>492</v>
      </c>
      <c r="C15" s="41" t="s">
        <v>498</v>
      </c>
      <c r="D15" s="42" t="s">
        <v>448</v>
      </c>
      <c r="E15" s="41" t="s">
        <v>503</v>
      </c>
      <c r="F15" s="47" t="s">
        <v>445</v>
      </c>
    </row>
    <row r="16" spans="1:7" ht="44.4" customHeight="1" x14ac:dyDescent="0.3">
      <c r="A16" s="40">
        <f t="shared" si="0"/>
        <v>12</v>
      </c>
      <c r="B16" s="41" t="s">
        <v>493</v>
      </c>
      <c r="C16" s="48" t="s">
        <v>499</v>
      </c>
      <c r="D16" s="42" t="s">
        <v>448</v>
      </c>
      <c r="E16" s="41" t="s">
        <v>504</v>
      </c>
      <c r="F16" s="47" t="s">
        <v>445</v>
      </c>
    </row>
  </sheetData>
  <autoFilter ref="A4:F16" xr:uid="{00000000-0009-0000-0000-000004000000}"/>
  <mergeCells count="2">
    <mergeCell ref="A1:F1"/>
    <mergeCell ref="A2:F2"/>
  </mergeCells>
  <dataValidations count="1">
    <dataValidation type="list" allowBlank="1" sqref="F12:F13 F15:F16" xr:uid="{6416969F-C8B7-45D7-9C12-EF2FAA96132C}">
      <formula1>"Open,Resolved,Accepted / Won't Fix,Needs Discussion"</formula1>
      <formula2>0</formula2>
    </dataValidation>
  </dataValidations>
  <pageMargins left="1" right="1" top="1" bottom="1" header="0.5" footer="0.5"/>
  <pageSetup scale="56"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26</v>
      </c>
    </row>
    <row r="3" spans="2:3" ht="27.75" customHeight="1" x14ac:dyDescent="0.3">
      <c r="B3" s="1" t="s">
        <v>449</v>
      </c>
    </row>
    <row r="5" spans="2:3" x14ac:dyDescent="0.3">
      <c r="B5" s="15" t="s">
        <v>450</v>
      </c>
      <c r="C5" s="5">
        <f>COUNTA('1. Data Dictionary'!B4,'1. Data Dictionary'!B26,'1. Data Dictionary'!B48,'1. Data Dictionary'!B70,'1. Data Dictionary'!B92)</f>
        <v>5</v>
      </c>
    </row>
    <row r="6" spans="2:3" x14ac:dyDescent="0.3">
      <c r="B6" s="15" t="s">
        <v>451</v>
      </c>
      <c r="C6" s="16">
        <f>SUM('1. Data Dictionary'!B11,'1. Data Dictionary'!B33,'1. Data Dictionary'!B55,'1. Data Dictionary'!B77,'1. Data Dictionary'!B99)</f>
        <v>290316</v>
      </c>
    </row>
    <row r="7" spans="2:3" x14ac:dyDescent="0.3">
      <c r="B7" s="15" t="s">
        <v>452</v>
      </c>
      <c r="C7" s="5">
        <f>SUM('1. Data Dictionary'!C11,'1. Data Dictionary'!C33,'1. Data Dictionary'!C55,'1. Data Dictionary'!C77,'1. Data Dictionary'!C99)</f>
        <v>71</v>
      </c>
    </row>
    <row r="8" spans="2:3" x14ac:dyDescent="0.3">
      <c r="B8" s="15" t="s">
        <v>453</v>
      </c>
      <c r="C8" s="5" t="e">
        <f>COUNTIF(#REF!,"Open")</f>
        <v>#REF!</v>
      </c>
    </row>
    <row r="10" spans="2:3" ht="39.75" customHeight="1" x14ac:dyDescent="0.3">
      <c r="B10" s="3" t="s">
        <v>454</v>
      </c>
      <c r="C10" s="17" t="s">
        <v>455</v>
      </c>
    </row>
    <row r="11" spans="2:3" ht="39.75" customHeight="1" x14ac:dyDescent="0.3">
      <c r="B11" s="3" t="s">
        <v>456</v>
      </c>
      <c r="C11" s="17"/>
    </row>
    <row r="12" spans="2:3" ht="39.75" customHeight="1" x14ac:dyDescent="0.3">
      <c r="B12" s="3" t="s">
        <v>457</v>
      </c>
      <c r="C12" s="17" t="s">
        <v>458</v>
      </c>
    </row>
    <row r="13" spans="2:3" ht="39.75" customHeight="1" x14ac:dyDescent="0.3">
      <c r="B13" s="3" t="s">
        <v>459</v>
      </c>
      <c r="C13" s="17" t="s">
        <v>460</v>
      </c>
    </row>
    <row r="14" spans="2:3" ht="39.75" customHeight="1" x14ac:dyDescent="0.3">
      <c r="B14" s="3" t="s">
        <v>461</v>
      </c>
      <c r="C14" s="17"/>
    </row>
    <row r="16" spans="2:3" x14ac:dyDescent="0.3">
      <c r="B16" s="15" t="s">
        <v>462</v>
      </c>
      <c r="C16" s="18"/>
    </row>
    <row r="17" spans="2:3" x14ac:dyDescent="0.3">
      <c r="B17" s="15" t="s">
        <v>463</v>
      </c>
      <c r="C17" s="1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dc:creator>
  <cp:lastModifiedBy>muhsin.bca25.dbi@gmail.com</cp:lastModifiedBy>
  <cp:revision>0</cp:revision>
  <dcterms:created xsi:type="dcterms:W3CDTF">2026-08-03T06:53:21Z</dcterms:created>
  <dcterms:modified xsi:type="dcterms:W3CDTF">2026-09-09T07:13:34Z</dcterms:modified>
  <dc:language>en-US</dc:language>
</cp:coreProperties>
</file>